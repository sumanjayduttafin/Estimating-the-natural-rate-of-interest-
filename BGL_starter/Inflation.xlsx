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Database of long series of Macro variables\"/>
    </mc:Choice>
  </mc:AlternateContent>
  <xr:revisionPtr revIDLastSave="0" documentId="13_ncr:1_{31C9B2B5-BC61-40B5-9355-FEF74B8D2145}" xr6:coauthVersionLast="47" xr6:coauthVersionMax="47" xr10:uidLastSave="{00000000-0000-0000-0000-000000000000}"/>
  <bookViews>
    <workbookView xWindow="-108" yWindow="-108" windowWidth="23256" windowHeight="12456" firstSheet="1" activeTab="1" xr2:uid="{0A602431-2E83-4940-A513-7F0CD503F4F7}"/>
  </bookViews>
  <sheets>
    <sheet name="Sheet1" sheetId="1" state="hidden" r:id="rId1"/>
    <sheet name="Monthly Inflation" sheetId="2" r:id="rId2"/>
    <sheet name="Quarterly" sheetId="3" r:id="rId3"/>
  </sheets>
  <definedNames>
    <definedName name="_xlnm._FilterDatabase" localSheetId="0" hidden="1">Sheet1!$P$5:$Q$148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14" i="2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6" i="3"/>
  <c r="T5" i="1" l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U160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5" i="1"/>
</calcChain>
</file>

<file path=xl/sharedStrings.xml><?xml version="1.0" encoding="utf-8"?>
<sst xmlns="http://schemas.openxmlformats.org/spreadsheetml/2006/main" count="311" uniqueCount="155">
  <si>
    <t>Appendix Table III.6: CPI-Combined</t>
  </si>
  <si>
    <t>(back-casted series*)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</si>
  <si>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</si>
  <si>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</si>
  <si>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</si>
  <si>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</si>
  <si>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</si>
  <si>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</si>
  <si>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</si>
  <si>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</si>
  <si>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</si>
  <si>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</si>
  <si>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</si>
  <si>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</si>
  <si>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﻿</t>
  </si>
  <si>
    <t>Consumer Price Index</t>
  </si>
  <si>
    <t>Region</t>
  </si>
  <si>
    <t>India</t>
  </si>
  <si>
    <t>Subnational</t>
  </si>
  <si>
    <t>Frequency</t>
  </si>
  <si>
    <t>Monthly</t>
  </si>
  <si>
    <t>Unit</t>
  </si>
  <si>
    <t>2012=100</t>
  </si>
  <si>
    <t>Source</t>
  </si>
  <si>
    <t>Ministry of Statistics and Programme Implementation</t>
  </si>
  <si>
    <t>Status</t>
  </si>
  <si>
    <t>Active</t>
  </si>
  <si>
    <t>Series ID</t>
  </si>
  <si>
    <t>365307397 (IIJGEAGAAAAADP)</t>
  </si>
  <si>
    <t>SR Code</t>
  </si>
  <si>
    <t>SR87548067</t>
  </si>
  <si>
    <t>Trade Code</t>
  </si>
  <si>
    <t>Mnemonic</t>
  </si>
  <si>
    <t>IN.CPI.FI.M</t>
  </si>
  <si>
    <t>Function Description</t>
  </si>
  <si>
    <t>First Obs. Date</t>
  </si>
  <si>
    <t>Last Obs. Date</t>
  </si>
  <si>
    <t>Last Update Time</t>
  </si>
  <si>
    <t>Series Remarks</t>
  </si>
  <si>
    <t>[COVID-19-IMPACT]</t>
  </si>
  <si>
    <t>Suggestions</t>
  </si>
  <si>
    <t>Mean</t>
  </si>
  <si>
    <t>Variance</t>
  </si>
  <si>
    <t>Standard Deviation</t>
  </si>
  <si>
    <t>Skewness</t>
  </si>
  <si>
    <t>Kurtosis</t>
  </si>
  <si>
    <t>Coefficient Variation</t>
  </si>
  <si>
    <t>Min</t>
  </si>
  <si>
    <t>Max</t>
  </si>
  <si>
    <t>Median</t>
  </si>
  <si>
    <t>Sum</t>
  </si>
  <si>
    <t>Subtract</t>
  </si>
  <si>
    <t>No. of Obs</t>
  </si>
  <si>
    <t>Date</t>
  </si>
  <si>
    <t>Inflation Index</t>
  </si>
  <si>
    <t>Q2 2025</t>
  </si>
  <si>
    <t>Q1 2025</t>
  </si>
  <si>
    <t>Q4 2024</t>
  </si>
  <si>
    <t>Q3 2024</t>
  </si>
  <si>
    <t>Q2 2024</t>
  </si>
  <si>
    <t>Q1 2024</t>
  </si>
  <si>
    <t>Q4 2023</t>
  </si>
  <si>
    <t>Q3 2023</t>
  </si>
  <si>
    <t>Q2 2023</t>
  </si>
  <si>
    <t>Q1 2023</t>
  </si>
  <si>
    <t>Q4 2022</t>
  </si>
  <si>
    <t>Q3 2022</t>
  </si>
  <si>
    <t>Q2 2022</t>
  </si>
  <si>
    <t>Q1 2022</t>
  </si>
  <si>
    <t>Q4 2021</t>
  </si>
  <si>
    <t>Q3 2021</t>
  </si>
  <si>
    <t>Q2 2021</t>
  </si>
  <si>
    <t>Q1 2021</t>
  </si>
  <si>
    <t>Q4 2020</t>
  </si>
  <si>
    <t>Q3 2020</t>
  </si>
  <si>
    <t>Q2 2020</t>
  </si>
  <si>
    <t>Q1 2020</t>
  </si>
  <si>
    <t>Q4 2019</t>
  </si>
  <si>
    <t>Q3 2019</t>
  </si>
  <si>
    <t>Q2 2019</t>
  </si>
  <si>
    <t>Q1 2019</t>
  </si>
  <si>
    <t>Q4 2018</t>
  </si>
  <si>
    <t>Q3 2018</t>
  </si>
  <si>
    <t>Q2 2018</t>
  </si>
  <si>
    <t>Q1 2018</t>
  </si>
  <si>
    <t>Q4 2017</t>
  </si>
  <si>
    <t>Q3 2017</t>
  </si>
  <si>
    <t>Q2 2017</t>
  </si>
  <si>
    <t>Q1 2017</t>
  </si>
  <si>
    <t>Q4 2016</t>
  </si>
  <si>
    <t>Q3 2016</t>
  </si>
  <si>
    <t>Q2 2016</t>
  </si>
  <si>
    <t>Q1 2016</t>
  </si>
  <si>
    <t>Q4 2015</t>
  </si>
  <si>
    <t>Q3 2015</t>
  </si>
  <si>
    <t>Q2 2015</t>
  </si>
  <si>
    <t>Q1 2015</t>
  </si>
  <si>
    <t>Q4 2014</t>
  </si>
  <si>
    <t>Q3 2014</t>
  </si>
  <si>
    <t>Q2 2014</t>
  </si>
  <si>
    <t>Q1 2014</t>
  </si>
  <si>
    <t>Q4 2013</t>
  </si>
  <si>
    <t>Q3 2013</t>
  </si>
  <si>
    <t>Q2 2013</t>
  </si>
  <si>
    <t>Q1 2013</t>
  </si>
  <si>
    <t>Q4 2012</t>
  </si>
  <si>
    <t>Q3 2012</t>
  </si>
  <si>
    <t>Q2 2012</t>
  </si>
  <si>
    <t>Q1 2012</t>
  </si>
  <si>
    <t>Q4 2011</t>
  </si>
  <si>
    <t>Q3 2011</t>
  </si>
  <si>
    <t>Q2 2011</t>
  </si>
  <si>
    <t>Q1 2011</t>
  </si>
  <si>
    <t>Q4 2010</t>
  </si>
  <si>
    <t>Q3 2010</t>
  </si>
  <si>
    <t>Q2 2010</t>
  </si>
  <si>
    <t>Q1 2010</t>
  </si>
  <si>
    <t>Q4 2009</t>
  </si>
  <si>
    <t>Q3 2009</t>
  </si>
  <si>
    <t>Q2 2009</t>
  </si>
  <si>
    <t>Q1 2009</t>
  </si>
  <si>
    <t>Q4 2008</t>
  </si>
  <si>
    <t>Q3 2008</t>
  </si>
  <si>
    <t>Q2 2008</t>
  </si>
  <si>
    <t>Q1 2008</t>
  </si>
  <si>
    <t>Q4 2007</t>
  </si>
  <si>
    <t>Q3 2007</t>
  </si>
  <si>
    <t>Q2 2007</t>
  </si>
  <si>
    <t>Q1 2007</t>
  </si>
  <si>
    <t>Q4 2006</t>
  </si>
  <si>
    <t>Q3 2006</t>
  </si>
  <si>
    <t>Q2 2006</t>
  </si>
  <si>
    <t>Q1 2006</t>
  </si>
  <si>
    <t>Q4 2005</t>
  </si>
  <si>
    <t>Q3 2005</t>
  </si>
  <si>
    <t>Q2 2005</t>
  </si>
  <si>
    <t>Q1 2005</t>
  </si>
  <si>
    <t>Q4 2004</t>
  </si>
  <si>
    <t>Q3 2004</t>
  </si>
  <si>
    <t>Q2 2004</t>
  </si>
  <si>
    <t>Q1 2004</t>
  </si>
  <si>
    <t>Q4 2003</t>
  </si>
  <si>
    <t>Q3 2003</t>
  </si>
  <si>
    <t>Q2 2003</t>
  </si>
  <si>
    <t>Q1 2003</t>
  </si>
  <si>
    <t>Q4 2002</t>
  </si>
  <si>
    <t>Q3 2002</t>
  </si>
  <si>
    <t>Q2 2002</t>
  </si>
  <si>
    <t>Q1 2002</t>
  </si>
  <si>
    <t>Q4 2001</t>
  </si>
  <si>
    <t>Q3 2001</t>
  </si>
  <si>
    <t>Q2 2001</t>
  </si>
  <si>
    <t>Q1 2001</t>
  </si>
  <si>
    <t>Quarter</t>
  </si>
  <si>
    <t>CPI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</si>
</sst>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9"/>
      <color rgb="FF000000"/>
      <name val="Times New Roman Bold"/>
    </font>
    <font>
      <sz val="9"/>
      <color rgb="FF000000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3">
    <xf numFmtId="0" fontId="0" fillId="0" borderId="0" xfId="0"/>
    <xf numFmtId="49" fontId="1" fillId="0" borderId="0" xfId="0" applyNumberFormat="1" applyFont="1"/>
    <xf numFmtId="49" fontId="2" fillId="0" borderId="0" xfId="0" applyNumberFormat="1" applyFont="1"/>
    <xf numFmtId="1" fontId="2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0" fillId="0" borderId="0" xfId="0" applyAlignment="1">
      <alignment vertical="center"/>
    </xf>
    <xf numFmtId="0" fontId="3" fillId="0" borderId="0" xfId="1" applyAlignment="1">
      <alignment vertical="center"/>
    </xf>
    <xf numFmtId="14" fontId="0" fillId="0" borderId="0" xfId="0" applyNumberFormat="1"/>
    <xf numFmtId="14" fontId="0" fillId="0" borderId="0" xfId="0" applyNumberFormat="1" applyAlignment="1">
      <alignment vertical="center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nsights.ceicdata.com/series/365307397_SR8754806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8F763-FA2F-4B7B-B653-D92B38A18710}">
  <dimension ref="A2:W300"/>
  <sheetViews>
    <sheetView workbookViewId="0">
      <selection activeCell="T124" sqref="T5:T124"/>
    </sheetView>
  </sheetViews>
  <sheetFormatPr defaultRowHeight="14.4" x14ac:dyDescent="0.3"/>
  <cols>
    <col min="1" max="1" width="28.88671875" bestFit="1" customWidth="1"/>
    <col min="2" max="13" width="5.33203125" bestFit="1" customWidth="1"/>
    <col min="15" max="15" width="10.33203125" bestFit="1" customWidth="1"/>
    <col min="22" max="22" width="11.33203125" customWidth="1"/>
  </cols>
  <sheetData>
    <row r="2" spans="1:23" x14ac:dyDescent="0.3">
      <c r="A2" s="1" t="s">
        <v>0</v>
      </c>
      <c r="V2" s="6" t="s">
        <v>14</v>
      </c>
      <c r="W2" s="7" t="s">
        <v>15</v>
      </c>
    </row>
    <row r="3" spans="1:23" x14ac:dyDescent="0.3">
      <c r="A3" s="2" t="s">
        <v>1</v>
      </c>
      <c r="V3" s="6" t="s">
        <v>16</v>
      </c>
      <c r="W3" s="6" t="s">
        <v>17</v>
      </c>
    </row>
    <row r="4" spans="1:23" x14ac:dyDescent="0.3">
      <c r="V4" s="6" t="s">
        <v>18</v>
      </c>
      <c r="W4" s="6"/>
    </row>
    <row r="5" spans="1:23" x14ac:dyDescent="0.3">
      <c r="B5" s="1" t="s">
        <v>2</v>
      </c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 t="s">
        <v>8</v>
      </c>
      <c r="I5" s="1" t="s">
        <v>9</v>
      </c>
      <c r="J5" s="1" t="s">
        <v>10</v>
      </c>
      <c r="K5" s="1" t="s">
        <v>11</v>
      </c>
      <c r="L5" s="1" t="s">
        <v>12</v>
      </c>
      <c r="M5" s="1" t="s">
        <v>13</v>
      </c>
      <c r="O5" s="8">
        <f>DATE(P5, MONTH(Q5&amp;"1"), 1)</f>
        <v>36892</v>
      </c>
      <c r="P5" s="12">
        <v>2001</v>
      </c>
      <c r="Q5" t="s">
        <v>2</v>
      </c>
      <c r="R5">
        <v>55.5</v>
      </c>
      <c r="T5">
        <f t="shared" ref="T5:T68" si="0">R5*$U$160</f>
        <v>46.128182315225288</v>
      </c>
      <c r="V5" s="6" t="s">
        <v>19</v>
      </c>
      <c r="W5" s="6" t="s">
        <v>20</v>
      </c>
    </row>
    <row r="6" spans="1:23" x14ac:dyDescent="0.3">
      <c r="A6" s="3">
        <v>2001</v>
      </c>
      <c r="B6" s="4">
        <v>55.5</v>
      </c>
      <c r="C6" s="4">
        <v>55.4</v>
      </c>
      <c r="D6" s="4">
        <v>55.7</v>
      </c>
      <c r="E6" s="4">
        <v>56.1</v>
      </c>
      <c r="F6" s="4">
        <v>56.5</v>
      </c>
      <c r="G6" s="4">
        <v>57.1</v>
      </c>
      <c r="H6" s="4">
        <v>57.8</v>
      </c>
      <c r="I6" s="4">
        <v>58.2</v>
      </c>
      <c r="J6" s="5">
        <v>58</v>
      </c>
      <c r="K6" s="4">
        <v>58.6</v>
      </c>
      <c r="L6" s="5">
        <v>59</v>
      </c>
      <c r="M6" s="4">
        <v>58.8</v>
      </c>
      <c r="O6" s="8">
        <f t="shared" ref="O6:O69" si="1">DATE(P6, MONTH(Q6&amp;"1"), 1)</f>
        <v>36923</v>
      </c>
      <c r="P6" s="12">
        <v>2001</v>
      </c>
      <c r="Q6" t="s">
        <v>3</v>
      </c>
      <c r="R6">
        <v>55.4</v>
      </c>
      <c r="T6">
        <f t="shared" si="0"/>
        <v>46.045068473215871</v>
      </c>
      <c r="V6" s="6" t="s">
        <v>21</v>
      </c>
      <c r="W6" s="6" t="s">
        <v>22</v>
      </c>
    </row>
    <row r="7" spans="1:23" x14ac:dyDescent="0.3">
      <c r="A7" s="3">
        <v>2002</v>
      </c>
      <c r="B7" s="4">
        <v>58.6</v>
      </c>
      <c r="C7" s="4">
        <v>58.5</v>
      </c>
      <c r="D7" s="4">
        <v>58.9</v>
      </c>
      <c r="E7" s="4">
        <v>59.2</v>
      </c>
      <c r="F7" s="4">
        <v>59.6</v>
      </c>
      <c r="G7" s="4">
        <v>60.2</v>
      </c>
      <c r="H7" s="4">
        <v>60.8</v>
      </c>
      <c r="I7" s="4">
        <v>61.1</v>
      </c>
      <c r="J7" s="4">
        <v>61.2</v>
      </c>
      <c r="K7" s="4">
        <v>61.5</v>
      </c>
      <c r="L7" s="4">
        <v>61.7</v>
      </c>
      <c r="M7" s="4">
        <v>61.3</v>
      </c>
      <c r="O7" s="8">
        <f t="shared" si="1"/>
        <v>36951</v>
      </c>
      <c r="P7" s="12">
        <v>2001</v>
      </c>
      <c r="Q7" t="s">
        <v>4</v>
      </c>
      <c r="R7">
        <v>55.7</v>
      </c>
      <c r="T7">
        <f t="shared" si="0"/>
        <v>46.294409999244117</v>
      </c>
      <c r="V7" s="6" t="s">
        <v>23</v>
      </c>
      <c r="W7" s="6" t="s">
        <v>24</v>
      </c>
    </row>
    <row r="8" spans="1:23" x14ac:dyDescent="0.3">
      <c r="A8" s="3">
        <v>2003</v>
      </c>
      <c r="B8" s="4">
        <v>61.2</v>
      </c>
      <c r="C8" s="4">
        <v>61.4</v>
      </c>
      <c r="D8" s="4">
        <v>61.8</v>
      </c>
      <c r="E8" s="4">
        <v>62.7</v>
      </c>
      <c r="F8" s="4">
        <v>62.8</v>
      </c>
      <c r="G8" s="5">
        <v>63</v>
      </c>
      <c r="H8" s="4">
        <v>63.5</v>
      </c>
      <c r="I8" s="4">
        <v>63.1</v>
      </c>
      <c r="J8" s="4">
        <v>63.2</v>
      </c>
      <c r="K8" s="4">
        <v>63.7</v>
      </c>
      <c r="L8" s="4">
        <v>63.8</v>
      </c>
      <c r="M8" s="4">
        <v>63.7</v>
      </c>
      <c r="O8" s="8">
        <f t="shared" si="1"/>
        <v>36982</v>
      </c>
      <c r="P8" s="12">
        <v>2001</v>
      </c>
      <c r="Q8" t="s">
        <v>5</v>
      </c>
      <c r="R8">
        <v>56.1</v>
      </c>
      <c r="T8">
        <f t="shared" si="0"/>
        <v>46.626865367281773</v>
      </c>
      <c r="V8" s="6" t="s">
        <v>25</v>
      </c>
      <c r="W8" s="6" t="s">
        <v>26</v>
      </c>
    </row>
    <row r="9" spans="1:23" x14ac:dyDescent="0.3">
      <c r="A9" s="3">
        <v>2004</v>
      </c>
      <c r="B9" s="4">
        <v>63.8</v>
      </c>
      <c r="C9" s="4">
        <v>63.8</v>
      </c>
      <c r="D9" s="4">
        <v>63.9</v>
      </c>
      <c r="E9" s="4">
        <v>64.099999999999994</v>
      </c>
      <c r="F9" s="4">
        <v>64.599999999999994</v>
      </c>
      <c r="G9" s="4">
        <v>65.099999999999994</v>
      </c>
      <c r="H9" s="4">
        <v>65.599999999999994</v>
      </c>
      <c r="I9" s="4">
        <v>66.2</v>
      </c>
      <c r="J9" s="4">
        <v>66.3</v>
      </c>
      <c r="K9" s="4">
        <v>66.8</v>
      </c>
      <c r="L9" s="4">
        <v>66.599999999999994</v>
      </c>
      <c r="M9" s="4">
        <v>66.099999999999994</v>
      </c>
      <c r="O9" s="8">
        <f t="shared" si="1"/>
        <v>37012</v>
      </c>
      <c r="P9" s="12">
        <v>2001</v>
      </c>
      <c r="Q9" t="s">
        <v>6</v>
      </c>
      <c r="R9">
        <v>56.5</v>
      </c>
      <c r="T9">
        <f t="shared" si="0"/>
        <v>46.959320735319437</v>
      </c>
      <c r="V9" s="6" t="s">
        <v>27</v>
      </c>
      <c r="W9" s="6" t="s">
        <v>28</v>
      </c>
    </row>
    <row r="10" spans="1:23" x14ac:dyDescent="0.3">
      <c r="A10" s="3">
        <v>2005</v>
      </c>
      <c r="B10" s="4">
        <v>66.599999999999994</v>
      </c>
      <c r="C10" s="4">
        <v>66.599999999999994</v>
      </c>
      <c r="D10" s="4">
        <v>66.599999999999994</v>
      </c>
      <c r="E10" s="4">
        <v>67.099999999999994</v>
      </c>
      <c r="F10" s="4">
        <v>66.7</v>
      </c>
      <c r="G10" s="4">
        <v>66.8</v>
      </c>
      <c r="H10" s="4">
        <v>67.900000000000006</v>
      </c>
      <c r="I10" s="4">
        <v>68.099999999999994</v>
      </c>
      <c r="J10" s="4">
        <v>68.2</v>
      </c>
      <c r="K10" s="4">
        <v>68.8</v>
      </c>
      <c r="L10" s="4">
        <v>69.5</v>
      </c>
      <c r="M10" s="4">
        <v>69.2</v>
      </c>
      <c r="O10" s="8">
        <f t="shared" si="1"/>
        <v>37043</v>
      </c>
      <c r="P10" s="12">
        <v>2001</v>
      </c>
      <c r="Q10" t="s">
        <v>7</v>
      </c>
      <c r="R10">
        <v>57.1</v>
      </c>
      <c r="T10">
        <f t="shared" si="0"/>
        <v>47.458003787375922</v>
      </c>
      <c r="V10" s="6" t="s">
        <v>29</v>
      </c>
      <c r="W10" s="6" t="s">
        <v>30</v>
      </c>
    </row>
    <row r="11" spans="1:23" x14ac:dyDescent="0.3">
      <c r="A11" s="3">
        <v>2006</v>
      </c>
      <c r="B11" s="4">
        <v>69.3</v>
      </c>
      <c r="C11" s="4">
        <v>69.3</v>
      </c>
      <c r="D11" s="4">
        <v>69.3</v>
      </c>
      <c r="E11" s="5">
        <v>70</v>
      </c>
      <c r="F11" s="4">
        <v>70.900000000000006</v>
      </c>
      <c r="G11" s="4">
        <v>71.900000000000006</v>
      </c>
      <c r="H11" s="4">
        <v>72.3</v>
      </c>
      <c r="I11" s="4">
        <v>72.8</v>
      </c>
      <c r="J11" s="4">
        <v>73.3</v>
      </c>
      <c r="K11" s="4">
        <v>74.2</v>
      </c>
      <c r="L11" s="4">
        <v>74.2</v>
      </c>
      <c r="M11" s="4">
        <v>73.900000000000006</v>
      </c>
      <c r="O11" s="8">
        <f t="shared" si="1"/>
        <v>37073</v>
      </c>
      <c r="P11" s="12">
        <v>2001</v>
      </c>
      <c r="Q11" t="s">
        <v>8</v>
      </c>
      <c r="R11">
        <v>57.8</v>
      </c>
      <c r="T11">
        <f t="shared" si="0"/>
        <v>48.039800681441825</v>
      </c>
      <c r="V11" s="6" t="s">
        <v>31</v>
      </c>
      <c r="W11" s="6"/>
    </row>
    <row r="12" spans="1:23" x14ac:dyDescent="0.3">
      <c r="A12" s="3">
        <v>2007</v>
      </c>
      <c r="B12" s="4">
        <v>73.900000000000006</v>
      </c>
      <c r="C12" s="4">
        <v>74.099999999999994</v>
      </c>
      <c r="D12" s="4">
        <v>74.099999999999994</v>
      </c>
      <c r="E12" s="4">
        <v>74.8</v>
      </c>
      <c r="F12" s="4">
        <v>75.2</v>
      </c>
      <c r="G12" s="4">
        <v>75.8</v>
      </c>
      <c r="H12" s="4">
        <v>76.900000000000006</v>
      </c>
      <c r="I12" s="4">
        <v>77.2</v>
      </c>
      <c r="J12" s="4">
        <v>77.3</v>
      </c>
      <c r="K12" s="4">
        <v>77.900000000000006</v>
      </c>
      <c r="L12" s="5">
        <v>78</v>
      </c>
      <c r="M12" s="5">
        <v>78</v>
      </c>
      <c r="O12" s="8">
        <f t="shared" si="1"/>
        <v>37104</v>
      </c>
      <c r="P12" s="12">
        <v>2001</v>
      </c>
      <c r="Q12" t="s">
        <v>9</v>
      </c>
      <c r="R12">
        <v>58.2</v>
      </c>
      <c r="T12">
        <f t="shared" si="0"/>
        <v>48.372256049479489</v>
      </c>
      <c r="V12" s="6" t="s">
        <v>32</v>
      </c>
      <c r="W12" s="6" t="s">
        <v>33</v>
      </c>
    </row>
    <row r="13" spans="1:23" x14ac:dyDescent="0.3">
      <c r="A13" s="3">
        <v>2008</v>
      </c>
      <c r="B13" s="4">
        <v>78.099999999999994</v>
      </c>
      <c r="C13" s="4">
        <v>78.599999999999994</v>
      </c>
      <c r="D13" s="4">
        <v>79.7</v>
      </c>
      <c r="E13" s="4">
        <v>80.7</v>
      </c>
      <c r="F13" s="4">
        <v>80.8</v>
      </c>
      <c r="G13" s="4">
        <v>81.900000000000006</v>
      </c>
      <c r="H13" s="4">
        <v>83.3</v>
      </c>
      <c r="I13" s="4">
        <v>84.3</v>
      </c>
      <c r="J13" s="4">
        <v>85.1</v>
      </c>
      <c r="K13" s="4">
        <v>86.7</v>
      </c>
      <c r="L13" s="4">
        <v>86.7</v>
      </c>
      <c r="M13" s="4">
        <v>85.5</v>
      </c>
      <c r="O13" s="8">
        <f t="shared" si="1"/>
        <v>37135</v>
      </c>
      <c r="P13" s="12">
        <v>2001</v>
      </c>
      <c r="Q13" t="s">
        <v>10</v>
      </c>
      <c r="R13">
        <v>58</v>
      </c>
      <c r="T13">
        <f t="shared" si="0"/>
        <v>48.206028365460661</v>
      </c>
      <c r="V13" s="6" t="s">
        <v>34</v>
      </c>
      <c r="W13" s="6"/>
    </row>
    <row r="14" spans="1:23" x14ac:dyDescent="0.3">
      <c r="A14" s="3">
        <v>2009</v>
      </c>
      <c r="B14" s="4">
        <v>85.9</v>
      </c>
      <c r="C14" s="4">
        <v>85.8</v>
      </c>
      <c r="D14" s="4">
        <v>86.1</v>
      </c>
      <c r="E14" s="5">
        <v>87</v>
      </c>
      <c r="F14" s="4">
        <v>87.9</v>
      </c>
      <c r="G14" s="4">
        <v>88.9</v>
      </c>
      <c r="H14" s="5">
        <v>92</v>
      </c>
      <c r="I14" s="4">
        <v>92.9</v>
      </c>
      <c r="J14" s="4">
        <v>93.6</v>
      </c>
      <c r="K14" s="4">
        <v>94.6</v>
      </c>
      <c r="L14" s="4">
        <v>96.5</v>
      </c>
      <c r="M14" s="4">
        <v>96.7</v>
      </c>
      <c r="O14" s="8">
        <f t="shared" si="1"/>
        <v>37165</v>
      </c>
      <c r="P14" s="12">
        <v>2001</v>
      </c>
      <c r="Q14" t="s">
        <v>11</v>
      </c>
      <c r="R14">
        <v>58.6</v>
      </c>
      <c r="T14">
        <f t="shared" si="0"/>
        <v>48.704711417517153</v>
      </c>
      <c r="V14" s="6" t="s">
        <v>35</v>
      </c>
      <c r="W14" s="9">
        <v>40544</v>
      </c>
    </row>
    <row r="15" spans="1:23" x14ac:dyDescent="0.3">
      <c r="A15" s="3">
        <v>2010</v>
      </c>
      <c r="B15" s="4">
        <v>97.4</v>
      </c>
      <c r="C15" s="4">
        <v>96.5</v>
      </c>
      <c r="D15" s="4">
        <v>96.3</v>
      </c>
      <c r="E15" s="5">
        <v>97</v>
      </c>
      <c r="F15" s="4">
        <v>97.8</v>
      </c>
      <c r="G15" s="5">
        <v>99</v>
      </c>
      <c r="H15" s="4">
        <v>101.3</v>
      </c>
      <c r="I15" s="4">
        <v>101.4</v>
      </c>
      <c r="J15" s="4">
        <v>102.3</v>
      </c>
      <c r="K15" s="4">
        <v>102.9</v>
      </c>
      <c r="L15" s="4">
        <v>103.5</v>
      </c>
      <c r="M15" s="4">
        <v>104.7</v>
      </c>
      <c r="O15" s="8">
        <f t="shared" si="1"/>
        <v>37196</v>
      </c>
      <c r="P15" s="12">
        <v>2001</v>
      </c>
      <c r="Q15" t="s">
        <v>12</v>
      </c>
      <c r="R15">
        <v>59</v>
      </c>
      <c r="T15">
        <f t="shared" si="0"/>
        <v>49.03716678555481</v>
      </c>
      <c r="V15" s="6" t="s">
        <v>36</v>
      </c>
      <c r="W15" s="9">
        <v>45870</v>
      </c>
    </row>
    <row r="16" spans="1:23" x14ac:dyDescent="0.3">
      <c r="A16" s="3">
        <v>2011</v>
      </c>
      <c r="B16" s="4">
        <v>105.9</v>
      </c>
      <c r="C16" s="4">
        <v>105.3</v>
      </c>
      <c r="D16" s="4">
        <v>105.6</v>
      </c>
      <c r="E16" s="4">
        <v>106.2</v>
      </c>
      <c r="F16" s="4">
        <v>107.1</v>
      </c>
      <c r="G16" s="4">
        <v>108.8</v>
      </c>
      <c r="H16" s="4">
        <v>110.5</v>
      </c>
      <c r="I16" s="4">
        <v>111.7</v>
      </c>
      <c r="J16" s="5">
        <v>113</v>
      </c>
      <c r="K16" s="4">
        <v>113.8</v>
      </c>
      <c r="L16" s="4">
        <v>114.1</v>
      </c>
      <c r="M16" s="4">
        <v>113.6</v>
      </c>
      <c r="O16" s="8">
        <f t="shared" si="1"/>
        <v>37226</v>
      </c>
      <c r="P16" s="12">
        <v>2001</v>
      </c>
      <c r="Q16" t="s">
        <v>13</v>
      </c>
      <c r="R16">
        <v>58.8</v>
      </c>
      <c r="T16">
        <f t="shared" si="0"/>
        <v>48.870939101535974</v>
      </c>
      <c r="V16" s="6" t="s">
        <v>37</v>
      </c>
      <c r="W16" s="9">
        <v>45912</v>
      </c>
    </row>
    <row r="17" spans="1:23" x14ac:dyDescent="0.3">
      <c r="A17" s="3">
        <v>2012</v>
      </c>
      <c r="B17" s="5">
        <v>114</v>
      </c>
      <c r="C17" s="4">
        <v>114.6</v>
      </c>
      <c r="D17" s="4">
        <v>115.5</v>
      </c>
      <c r="E17" s="4">
        <v>117.1</v>
      </c>
      <c r="F17" s="4">
        <v>118.2</v>
      </c>
      <c r="G17" s="4">
        <v>119.6</v>
      </c>
      <c r="H17" s="4">
        <v>121.4</v>
      </c>
      <c r="I17" s="4">
        <v>122.9</v>
      </c>
      <c r="J17" s="5">
        <v>124</v>
      </c>
      <c r="K17" s="4">
        <v>124.9</v>
      </c>
      <c r="L17" s="4">
        <v>125.4</v>
      </c>
      <c r="M17" s="4">
        <v>125.6</v>
      </c>
      <c r="O17" s="8">
        <f t="shared" si="1"/>
        <v>37257</v>
      </c>
      <c r="P17" s="3">
        <v>2002</v>
      </c>
      <c r="Q17" t="s">
        <v>2</v>
      </c>
      <c r="R17" s="4">
        <v>58.6</v>
      </c>
      <c r="T17">
        <f t="shared" si="0"/>
        <v>48.704711417517153</v>
      </c>
      <c r="V17" s="6" t="s">
        <v>38</v>
      </c>
      <c r="W17" s="6" t="s">
        <v>39</v>
      </c>
    </row>
    <row r="18" spans="1:23" x14ac:dyDescent="0.3">
      <c r="A18" s="3">
        <v>2013</v>
      </c>
      <c r="B18" s="4">
        <v>126.3</v>
      </c>
      <c r="C18" s="4">
        <v>127.1</v>
      </c>
      <c r="D18" s="4">
        <v>127.5</v>
      </c>
      <c r="E18" s="4">
        <v>128.1</v>
      </c>
      <c r="F18" s="4">
        <v>129.19999999999999</v>
      </c>
      <c r="G18" s="4">
        <v>131.4</v>
      </c>
      <c r="H18" s="4">
        <v>133.1</v>
      </c>
      <c r="I18" s="4">
        <v>134.6</v>
      </c>
      <c r="J18" s="4">
        <v>136.19999999999999</v>
      </c>
      <c r="K18" s="4">
        <v>137.5</v>
      </c>
      <c r="L18" s="4">
        <v>139.5</v>
      </c>
      <c r="M18" s="5">
        <v>138</v>
      </c>
      <c r="O18" s="8">
        <f t="shared" si="1"/>
        <v>37288</v>
      </c>
      <c r="P18" s="3">
        <v>2002</v>
      </c>
      <c r="Q18" t="s">
        <v>3</v>
      </c>
      <c r="R18" s="4">
        <v>58.5</v>
      </c>
      <c r="T18">
        <f t="shared" si="0"/>
        <v>48.621597575507735</v>
      </c>
      <c r="V18" s="6" t="s">
        <v>40</v>
      </c>
      <c r="W18" s="6"/>
    </row>
    <row r="19" spans="1:23" x14ac:dyDescent="0.3">
      <c r="O19" s="8">
        <f t="shared" si="1"/>
        <v>37316</v>
      </c>
      <c r="P19" s="3">
        <v>2002</v>
      </c>
      <c r="Q19" t="s">
        <v>4</v>
      </c>
      <c r="R19" s="4">
        <v>58.9</v>
      </c>
      <c r="T19">
        <f t="shared" si="0"/>
        <v>48.954052943545392</v>
      </c>
      <c r="V19" s="6" t="s">
        <v>41</v>
      </c>
      <c r="W19" s="6">
        <v>141.585227272727</v>
      </c>
    </row>
    <row r="20" spans="1:23" x14ac:dyDescent="0.3">
      <c r="O20" s="8">
        <f t="shared" si="1"/>
        <v>37347</v>
      </c>
      <c r="P20" s="3">
        <v>2002</v>
      </c>
      <c r="Q20" t="s">
        <v>5</v>
      </c>
      <c r="R20" s="4">
        <v>59.2</v>
      </c>
      <c r="T20">
        <f t="shared" si="0"/>
        <v>49.203394469573638</v>
      </c>
      <c r="V20" s="6" t="s">
        <v>42</v>
      </c>
      <c r="W20" s="6">
        <v>950.69246623376603</v>
      </c>
    </row>
    <row r="21" spans="1:23" x14ac:dyDescent="0.3">
      <c r="O21" s="8">
        <f t="shared" si="1"/>
        <v>37377</v>
      </c>
      <c r="P21" s="3">
        <v>2002</v>
      </c>
      <c r="Q21" t="s">
        <v>6</v>
      </c>
      <c r="R21" s="4">
        <v>59.6</v>
      </c>
      <c r="T21">
        <f t="shared" si="0"/>
        <v>49.535849837611302</v>
      </c>
      <c r="V21" s="6" t="s">
        <v>43</v>
      </c>
      <c r="W21" s="6">
        <v>30.833301254224502</v>
      </c>
    </row>
    <row r="22" spans="1:23" x14ac:dyDescent="0.3">
      <c r="O22" s="8">
        <f t="shared" si="1"/>
        <v>37408</v>
      </c>
      <c r="P22" s="3">
        <v>2002</v>
      </c>
      <c r="Q22" t="s">
        <v>7</v>
      </c>
      <c r="R22" s="4">
        <v>60.2</v>
      </c>
      <c r="T22">
        <f t="shared" si="0"/>
        <v>50.034532889667787</v>
      </c>
      <c r="V22" s="6" t="s">
        <v>44</v>
      </c>
      <c r="W22" s="6">
        <v>0.16586074383295399</v>
      </c>
    </row>
    <row r="23" spans="1:23" x14ac:dyDescent="0.3">
      <c r="O23" s="8">
        <f t="shared" si="1"/>
        <v>37438</v>
      </c>
      <c r="P23" s="3">
        <v>2002</v>
      </c>
      <c r="Q23" t="s">
        <v>8</v>
      </c>
      <c r="R23" s="4">
        <v>60.8</v>
      </c>
      <c r="T23">
        <f t="shared" si="0"/>
        <v>50.533215941724272</v>
      </c>
      <c r="V23" s="6" t="s">
        <v>45</v>
      </c>
      <c r="W23" s="6">
        <v>-0.99768613108232296</v>
      </c>
    </row>
    <row r="24" spans="1:23" x14ac:dyDescent="0.3">
      <c r="O24" s="8">
        <f t="shared" si="1"/>
        <v>37469</v>
      </c>
      <c r="P24" s="3">
        <v>2002</v>
      </c>
      <c r="Q24" t="s">
        <v>9</v>
      </c>
      <c r="R24" s="4">
        <v>61.1</v>
      </c>
      <c r="T24">
        <f t="shared" si="0"/>
        <v>50.782557467752525</v>
      </c>
      <c r="V24" s="6" t="s">
        <v>46</v>
      </c>
      <c r="W24" s="6">
        <v>0.21777202218160899</v>
      </c>
    </row>
    <row r="25" spans="1:23" x14ac:dyDescent="0.3">
      <c r="O25" s="8">
        <f t="shared" si="1"/>
        <v>37500</v>
      </c>
      <c r="P25" s="3">
        <v>2002</v>
      </c>
      <c r="Q25" t="s">
        <v>10</v>
      </c>
      <c r="R25" s="4">
        <v>61.2</v>
      </c>
      <c r="T25">
        <f t="shared" si="0"/>
        <v>50.865671309761936</v>
      </c>
      <c r="V25" s="6" t="s">
        <v>47</v>
      </c>
      <c r="W25" s="6">
        <v>88.4</v>
      </c>
    </row>
    <row r="26" spans="1:23" x14ac:dyDescent="0.3">
      <c r="O26" s="8">
        <f t="shared" si="1"/>
        <v>37530</v>
      </c>
      <c r="P26" s="3">
        <v>2002</v>
      </c>
      <c r="Q26" t="s">
        <v>11</v>
      </c>
      <c r="R26" s="4">
        <v>61.5</v>
      </c>
      <c r="T26">
        <f t="shared" si="0"/>
        <v>51.115012835790182</v>
      </c>
      <c r="V26" s="6" t="s">
        <v>48</v>
      </c>
      <c r="W26" s="6">
        <v>197</v>
      </c>
    </row>
    <row r="27" spans="1:23" x14ac:dyDescent="0.3">
      <c r="O27" s="8">
        <f t="shared" si="1"/>
        <v>37561</v>
      </c>
      <c r="P27" s="3">
        <v>2002</v>
      </c>
      <c r="Q27" t="s">
        <v>12</v>
      </c>
      <c r="R27" s="4">
        <v>61.7</v>
      </c>
      <c r="T27">
        <f t="shared" si="0"/>
        <v>51.28124051980901</v>
      </c>
      <c r="V27" s="6" t="s">
        <v>49</v>
      </c>
      <c r="W27" s="6">
        <v>137.69999999999999</v>
      </c>
    </row>
    <row r="28" spans="1:23" x14ac:dyDescent="0.3">
      <c r="O28" s="8">
        <f t="shared" si="1"/>
        <v>37591</v>
      </c>
      <c r="P28" s="3">
        <v>2002</v>
      </c>
      <c r="Q28" t="s">
        <v>13</v>
      </c>
      <c r="R28" s="4">
        <v>61.3</v>
      </c>
      <c r="T28">
        <f t="shared" si="0"/>
        <v>50.948785151771347</v>
      </c>
      <c r="V28" s="6" t="s">
        <v>50</v>
      </c>
      <c r="W28" s="6">
        <v>24919</v>
      </c>
    </row>
    <row r="29" spans="1:23" x14ac:dyDescent="0.3">
      <c r="O29" s="8">
        <f t="shared" si="1"/>
        <v>37622</v>
      </c>
      <c r="P29" s="12">
        <v>2003</v>
      </c>
      <c r="Q29" t="s">
        <v>2</v>
      </c>
      <c r="R29" s="4">
        <v>61.2</v>
      </c>
      <c r="T29">
        <f t="shared" si="0"/>
        <v>50.865671309761936</v>
      </c>
      <c r="V29" s="6" t="s">
        <v>51</v>
      </c>
      <c r="W29" s="6">
        <v>-108.6</v>
      </c>
    </row>
    <row r="30" spans="1:23" x14ac:dyDescent="0.3">
      <c r="O30" s="8">
        <f t="shared" si="1"/>
        <v>37653</v>
      </c>
      <c r="P30" s="12">
        <v>2003</v>
      </c>
      <c r="Q30" t="s">
        <v>3</v>
      </c>
      <c r="R30" s="4">
        <v>61.4</v>
      </c>
      <c r="T30">
        <f t="shared" si="0"/>
        <v>51.031898993780764</v>
      </c>
      <c r="V30" s="6" t="s">
        <v>52</v>
      </c>
      <c r="W30" s="6">
        <v>176</v>
      </c>
    </row>
    <row r="31" spans="1:23" x14ac:dyDescent="0.3">
      <c r="O31" s="8">
        <f t="shared" si="1"/>
        <v>37681</v>
      </c>
      <c r="P31" s="12">
        <v>2003</v>
      </c>
      <c r="Q31" t="s">
        <v>4</v>
      </c>
      <c r="R31" s="4">
        <v>61.8</v>
      </c>
      <c r="T31">
        <f t="shared" si="0"/>
        <v>51.364354361818421</v>
      </c>
      <c r="V31" s="9">
        <v>40544</v>
      </c>
      <c r="W31" s="6">
        <v>89.5</v>
      </c>
    </row>
    <row r="32" spans="1:23" x14ac:dyDescent="0.3">
      <c r="O32" s="8">
        <f t="shared" si="1"/>
        <v>37712</v>
      </c>
      <c r="P32" s="12">
        <v>2003</v>
      </c>
      <c r="Q32" t="s">
        <v>5</v>
      </c>
      <c r="R32" s="4">
        <v>62.7</v>
      </c>
      <c r="T32">
        <f t="shared" si="0"/>
        <v>52.112378939903159</v>
      </c>
      <c r="V32" s="9">
        <v>40575</v>
      </c>
      <c r="W32" s="6">
        <v>88.4</v>
      </c>
    </row>
    <row r="33" spans="15:23" x14ac:dyDescent="0.3">
      <c r="O33" s="8">
        <f t="shared" si="1"/>
        <v>37742</v>
      </c>
      <c r="P33" s="12">
        <v>2003</v>
      </c>
      <c r="Q33" t="s">
        <v>6</v>
      </c>
      <c r="R33" s="4">
        <v>62.8</v>
      </c>
      <c r="T33">
        <f t="shared" si="0"/>
        <v>52.19549278191257</v>
      </c>
      <c r="V33" s="9">
        <v>40603</v>
      </c>
      <c r="W33" s="6">
        <v>88.4</v>
      </c>
    </row>
    <row r="34" spans="15:23" x14ac:dyDescent="0.3">
      <c r="O34" s="8">
        <f t="shared" si="1"/>
        <v>37773</v>
      </c>
      <c r="P34" s="12">
        <v>2003</v>
      </c>
      <c r="Q34" t="s">
        <v>7</v>
      </c>
      <c r="R34" s="5">
        <v>63</v>
      </c>
      <c r="T34">
        <f t="shared" si="0"/>
        <v>52.361720465931405</v>
      </c>
      <c r="V34" s="9">
        <v>40634</v>
      </c>
      <c r="W34" s="6">
        <v>89.1</v>
      </c>
    </row>
    <row r="35" spans="15:23" x14ac:dyDescent="0.3">
      <c r="O35" s="8">
        <f t="shared" si="1"/>
        <v>37803</v>
      </c>
      <c r="P35" s="12">
        <v>2003</v>
      </c>
      <c r="Q35" t="s">
        <v>8</v>
      </c>
      <c r="R35" s="4">
        <v>63.5</v>
      </c>
      <c r="T35">
        <f t="shared" si="0"/>
        <v>52.77728967597848</v>
      </c>
      <c r="V35" s="9">
        <v>40664</v>
      </c>
      <c r="W35" s="6">
        <v>89.8</v>
      </c>
    </row>
    <row r="36" spans="15:23" x14ac:dyDescent="0.3">
      <c r="O36" s="8">
        <f t="shared" si="1"/>
        <v>37834</v>
      </c>
      <c r="P36" s="12">
        <v>2003</v>
      </c>
      <c r="Q36" t="s">
        <v>9</v>
      </c>
      <c r="R36" s="4">
        <v>63.1</v>
      </c>
      <c r="T36">
        <f t="shared" si="0"/>
        <v>52.444834307940823</v>
      </c>
      <c r="V36" s="9">
        <v>40695</v>
      </c>
      <c r="W36" s="6">
        <v>90.6</v>
      </c>
    </row>
    <row r="37" spans="15:23" x14ac:dyDescent="0.3">
      <c r="O37" s="8">
        <f t="shared" si="1"/>
        <v>37865</v>
      </c>
      <c r="P37" s="12">
        <v>2003</v>
      </c>
      <c r="Q37" t="s">
        <v>10</v>
      </c>
      <c r="R37" s="4">
        <v>63.2</v>
      </c>
      <c r="T37">
        <f t="shared" si="0"/>
        <v>52.527948149950234</v>
      </c>
      <c r="V37" s="9">
        <v>40725</v>
      </c>
      <c r="W37" s="6">
        <v>91.8</v>
      </c>
    </row>
    <row r="38" spans="15:23" x14ac:dyDescent="0.3">
      <c r="O38" s="8">
        <f t="shared" si="1"/>
        <v>37895</v>
      </c>
      <c r="P38" s="12">
        <v>2003</v>
      </c>
      <c r="Q38" t="s">
        <v>11</v>
      </c>
      <c r="R38" s="4">
        <v>63.7</v>
      </c>
      <c r="T38">
        <f t="shared" si="0"/>
        <v>52.943517359997315</v>
      </c>
      <c r="V38" s="9">
        <v>40756</v>
      </c>
      <c r="W38" s="6">
        <v>92.7</v>
      </c>
    </row>
    <row r="39" spans="15:23" x14ac:dyDescent="0.3">
      <c r="O39" s="8">
        <f t="shared" si="1"/>
        <v>37926</v>
      </c>
      <c r="P39" s="12">
        <v>2003</v>
      </c>
      <c r="Q39" t="s">
        <v>12</v>
      </c>
      <c r="R39" s="4">
        <v>63.8</v>
      </c>
      <c r="T39">
        <f t="shared" si="0"/>
        <v>53.026631202006719</v>
      </c>
      <c r="V39" s="9">
        <v>40787</v>
      </c>
      <c r="W39" s="6">
        <v>93.8</v>
      </c>
    </row>
    <row r="40" spans="15:23" x14ac:dyDescent="0.3">
      <c r="O40" s="8">
        <f t="shared" si="1"/>
        <v>37956</v>
      </c>
      <c r="P40" s="12">
        <v>2003</v>
      </c>
      <c r="Q40" t="s">
        <v>13</v>
      </c>
      <c r="R40" s="4">
        <v>63.7</v>
      </c>
      <c r="T40">
        <f t="shared" si="0"/>
        <v>52.943517359997315</v>
      </c>
      <c r="V40" s="9">
        <v>40817</v>
      </c>
      <c r="W40" s="6">
        <v>94.8</v>
      </c>
    </row>
    <row r="41" spans="15:23" x14ac:dyDescent="0.3">
      <c r="O41" s="8">
        <f t="shared" si="1"/>
        <v>37987</v>
      </c>
      <c r="P41" s="12">
        <v>2004</v>
      </c>
      <c r="Q41" t="s">
        <v>2</v>
      </c>
      <c r="R41" s="4">
        <v>63.8</v>
      </c>
      <c r="T41">
        <f t="shared" si="0"/>
        <v>53.026631202006719</v>
      </c>
      <c r="V41" s="9">
        <v>40848</v>
      </c>
      <c r="W41" s="6">
        <v>95.2</v>
      </c>
    </row>
    <row r="42" spans="15:23" x14ac:dyDescent="0.3">
      <c r="O42" s="8">
        <f t="shared" si="1"/>
        <v>38018</v>
      </c>
      <c r="P42" s="12">
        <v>2004</v>
      </c>
      <c r="Q42" t="s">
        <v>3</v>
      </c>
      <c r="R42" s="4">
        <v>63.8</v>
      </c>
      <c r="T42">
        <f t="shared" si="0"/>
        <v>53.026631202006719</v>
      </c>
      <c r="V42" s="9">
        <v>40878</v>
      </c>
      <c r="W42" s="6">
        <v>94.7</v>
      </c>
    </row>
    <row r="43" spans="15:23" x14ac:dyDescent="0.3">
      <c r="O43" s="8">
        <f t="shared" si="1"/>
        <v>38047</v>
      </c>
      <c r="P43" s="12">
        <v>2004</v>
      </c>
      <c r="Q43" t="s">
        <v>4</v>
      </c>
      <c r="R43" s="4">
        <v>63.9</v>
      </c>
      <c r="T43">
        <f t="shared" si="0"/>
        <v>53.109745044016137</v>
      </c>
      <c r="V43" s="9">
        <v>40909</v>
      </c>
      <c r="W43" s="6">
        <v>95.1</v>
      </c>
    </row>
    <row r="44" spans="15:23" x14ac:dyDescent="0.3">
      <c r="O44" s="8">
        <f t="shared" si="1"/>
        <v>38078</v>
      </c>
      <c r="P44" s="12">
        <v>2004</v>
      </c>
      <c r="Q44" t="s">
        <v>5</v>
      </c>
      <c r="R44" s="4">
        <v>64.099999999999994</v>
      </c>
      <c r="T44">
        <f t="shared" si="0"/>
        <v>53.275972728034965</v>
      </c>
      <c r="V44" s="9">
        <v>40940</v>
      </c>
      <c r="W44" s="6">
        <v>95.5</v>
      </c>
    </row>
    <row r="45" spans="15:23" x14ac:dyDescent="0.3">
      <c r="O45" s="8">
        <f t="shared" si="1"/>
        <v>38108</v>
      </c>
      <c r="P45" s="12">
        <v>2004</v>
      </c>
      <c r="Q45" t="s">
        <v>6</v>
      </c>
      <c r="R45" s="4">
        <v>64.599999999999994</v>
      </c>
      <c r="T45">
        <f t="shared" si="0"/>
        <v>53.69154193808204</v>
      </c>
      <c r="V45" s="9">
        <v>40969</v>
      </c>
      <c r="W45" s="6">
        <v>96.4</v>
      </c>
    </row>
    <row r="46" spans="15:23" x14ac:dyDescent="0.3">
      <c r="O46" s="8">
        <f t="shared" si="1"/>
        <v>38139</v>
      </c>
      <c r="P46" s="12">
        <v>2004</v>
      </c>
      <c r="Q46" t="s">
        <v>7</v>
      </c>
      <c r="R46" s="4">
        <v>65.099999999999994</v>
      </c>
      <c r="T46">
        <f t="shared" si="0"/>
        <v>54.107111148129114</v>
      </c>
      <c r="V46" s="9">
        <v>41000</v>
      </c>
      <c r="W46" s="6">
        <v>97.8</v>
      </c>
    </row>
    <row r="47" spans="15:23" x14ac:dyDescent="0.3">
      <c r="O47" s="8">
        <f t="shared" si="1"/>
        <v>38169</v>
      </c>
      <c r="P47" s="12">
        <v>2004</v>
      </c>
      <c r="Q47" t="s">
        <v>8</v>
      </c>
      <c r="R47" s="4">
        <v>65.599999999999994</v>
      </c>
      <c r="T47">
        <f t="shared" si="0"/>
        <v>54.522680358176189</v>
      </c>
      <c r="V47" s="9">
        <v>41030</v>
      </c>
      <c r="W47" s="6">
        <v>98.6</v>
      </c>
    </row>
    <row r="48" spans="15:23" x14ac:dyDescent="0.3">
      <c r="O48" s="8">
        <f t="shared" si="1"/>
        <v>38200</v>
      </c>
      <c r="P48" s="12">
        <v>2004</v>
      </c>
      <c r="Q48" t="s">
        <v>9</v>
      </c>
      <c r="R48" s="4">
        <v>66.2</v>
      </c>
      <c r="T48">
        <f t="shared" si="0"/>
        <v>55.021363410232688</v>
      </c>
      <c r="V48" s="9">
        <v>41061</v>
      </c>
      <c r="W48" s="6">
        <v>99.8</v>
      </c>
    </row>
    <row r="49" spans="15:23" x14ac:dyDescent="0.3">
      <c r="O49" s="8">
        <f t="shared" si="1"/>
        <v>38231</v>
      </c>
      <c r="P49" s="12">
        <v>2004</v>
      </c>
      <c r="Q49" t="s">
        <v>10</v>
      </c>
      <c r="R49" s="4">
        <v>66.3</v>
      </c>
      <c r="T49">
        <f t="shared" si="0"/>
        <v>55.104477252242098</v>
      </c>
      <c r="V49" s="9">
        <v>41091</v>
      </c>
      <c r="W49" s="6">
        <v>101.1</v>
      </c>
    </row>
    <row r="50" spans="15:23" x14ac:dyDescent="0.3">
      <c r="O50" s="8">
        <f t="shared" si="1"/>
        <v>38261</v>
      </c>
      <c r="P50" s="12">
        <v>2004</v>
      </c>
      <c r="Q50" t="s">
        <v>11</v>
      </c>
      <c r="R50" s="4">
        <v>66.8</v>
      </c>
      <c r="T50">
        <f t="shared" si="0"/>
        <v>55.520046462289173</v>
      </c>
      <c r="V50" s="9">
        <v>41122</v>
      </c>
      <c r="W50" s="6">
        <v>102.2</v>
      </c>
    </row>
    <row r="51" spans="15:23" x14ac:dyDescent="0.3">
      <c r="O51" s="8">
        <f t="shared" si="1"/>
        <v>38292</v>
      </c>
      <c r="P51" s="12">
        <v>2004</v>
      </c>
      <c r="Q51" t="s">
        <v>12</v>
      </c>
      <c r="R51" s="4">
        <v>66.599999999999994</v>
      </c>
      <c r="T51">
        <f t="shared" si="0"/>
        <v>55.353818778270337</v>
      </c>
      <c r="V51" s="9">
        <v>41153</v>
      </c>
      <c r="W51" s="6">
        <v>102.9</v>
      </c>
    </row>
    <row r="52" spans="15:23" x14ac:dyDescent="0.3">
      <c r="O52" s="8">
        <f t="shared" si="1"/>
        <v>38322</v>
      </c>
      <c r="P52" s="12">
        <v>2004</v>
      </c>
      <c r="Q52" t="s">
        <v>13</v>
      </c>
      <c r="R52" s="4">
        <v>66.099999999999994</v>
      </c>
      <c r="T52">
        <f t="shared" si="0"/>
        <v>54.938249568223263</v>
      </c>
      <c r="V52" s="9">
        <v>41183</v>
      </c>
      <c r="W52" s="6">
        <v>103.6</v>
      </c>
    </row>
    <row r="53" spans="15:23" x14ac:dyDescent="0.3">
      <c r="O53" s="8">
        <f t="shared" si="1"/>
        <v>38353</v>
      </c>
      <c r="P53" s="12">
        <v>2005</v>
      </c>
      <c r="Q53" t="s">
        <v>2</v>
      </c>
      <c r="R53" s="4">
        <v>66.599999999999994</v>
      </c>
      <c r="T53">
        <f t="shared" si="0"/>
        <v>55.353818778270337</v>
      </c>
      <c r="V53" s="9">
        <v>41214</v>
      </c>
      <c r="W53" s="6">
        <v>104.3</v>
      </c>
    </row>
    <row r="54" spans="15:23" x14ac:dyDescent="0.3">
      <c r="O54" s="8">
        <f t="shared" si="1"/>
        <v>38384</v>
      </c>
      <c r="P54" s="12">
        <v>2005</v>
      </c>
      <c r="Q54" t="s">
        <v>3</v>
      </c>
      <c r="R54" s="4">
        <v>66.599999999999994</v>
      </c>
      <c r="T54">
        <f t="shared" si="0"/>
        <v>55.353818778270337</v>
      </c>
      <c r="V54" s="9">
        <v>41244</v>
      </c>
      <c r="W54" s="6">
        <v>104.6</v>
      </c>
    </row>
    <row r="55" spans="15:23" x14ac:dyDescent="0.3">
      <c r="O55" s="8">
        <f t="shared" si="1"/>
        <v>38412</v>
      </c>
      <c r="P55" s="12">
        <v>2005</v>
      </c>
      <c r="Q55" t="s">
        <v>4</v>
      </c>
      <c r="R55" s="4">
        <v>66.599999999999994</v>
      </c>
      <c r="T55">
        <f t="shared" si="0"/>
        <v>55.353818778270337</v>
      </c>
      <c r="V55" s="9">
        <v>41275</v>
      </c>
      <c r="W55" s="6">
        <v>104.6</v>
      </c>
    </row>
    <row r="56" spans="15:23" x14ac:dyDescent="0.3">
      <c r="O56" s="8">
        <f t="shared" si="1"/>
        <v>38443</v>
      </c>
      <c r="P56" s="12">
        <v>2005</v>
      </c>
      <c r="Q56" t="s">
        <v>5</v>
      </c>
      <c r="R56" s="4">
        <v>67.099999999999994</v>
      </c>
      <c r="T56">
        <f t="shared" si="0"/>
        <v>55.769387988317412</v>
      </c>
      <c r="V56" s="9">
        <v>41306</v>
      </c>
      <c r="W56" s="6">
        <v>105.3</v>
      </c>
    </row>
    <row r="57" spans="15:23" x14ac:dyDescent="0.3">
      <c r="O57" s="8">
        <f t="shared" si="1"/>
        <v>38473</v>
      </c>
      <c r="P57" s="12">
        <v>2005</v>
      </c>
      <c r="Q57" t="s">
        <v>6</v>
      </c>
      <c r="R57" s="4">
        <v>66.7</v>
      </c>
      <c r="T57">
        <f t="shared" si="0"/>
        <v>55.436932620279762</v>
      </c>
      <c r="V57" s="9">
        <v>41334</v>
      </c>
      <c r="W57" s="6">
        <v>105.5</v>
      </c>
    </row>
    <row r="58" spans="15:23" x14ac:dyDescent="0.3">
      <c r="O58" s="8">
        <f t="shared" si="1"/>
        <v>38504</v>
      </c>
      <c r="P58" s="12">
        <v>2005</v>
      </c>
      <c r="Q58" t="s">
        <v>7</v>
      </c>
      <c r="R58" s="4">
        <v>66.8</v>
      </c>
      <c r="T58">
        <f t="shared" si="0"/>
        <v>55.520046462289173</v>
      </c>
      <c r="V58" s="9">
        <v>41365</v>
      </c>
      <c r="W58" s="6">
        <v>106.1</v>
      </c>
    </row>
    <row r="59" spans="15:23" x14ac:dyDescent="0.3">
      <c r="O59" s="8">
        <f t="shared" si="1"/>
        <v>38534</v>
      </c>
      <c r="P59" s="12">
        <v>2005</v>
      </c>
      <c r="Q59" t="s">
        <v>8</v>
      </c>
      <c r="R59" s="4">
        <v>67.900000000000006</v>
      </c>
      <c r="T59">
        <f t="shared" si="0"/>
        <v>56.43429872439274</v>
      </c>
      <c r="V59" s="9">
        <v>41395</v>
      </c>
      <c r="W59" s="6">
        <v>106.9</v>
      </c>
    </row>
    <row r="60" spans="15:23" x14ac:dyDescent="0.3">
      <c r="O60" s="8">
        <f t="shared" si="1"/>
        <v>38565</v>
      </c>
      <c r="P60" s="12">
        <v>2005</v>
      </c>
      <c r="Q60" t="s">
        <v>9</v>
      </c>
      <c r="R60" s="4">
        <v>68.099999999999994</v>
      </c>
      <c r="T60">
        <f t="shared" si="0"/>
        <v>56.600526408411561</v>
      </c>
      <c r="V60" s="9">
        <v>41426</v>
      </c>
      <c r="W60" s="6">
        <v>109.3</v>
      </c>
    </row>
    <row r="61" spans="15:23" x14ac:dyDescent="0.3">
      <c r="O61" s="8">
        <f t="shared" si="1"/>
        <v>38596</v>
      </c>
      <c r="P61" s="12">
        <v>2005</v>
      </c>
      <c r="Q61" t="s">
        <v>10</v>
      </c>
      <c r="R61" s="4">
        <v>68.2</v>
      </c>
      <c r="T61">
        <f t="shared" si="0"/>
        <v>56.683640250420986</v>
      </c>
      <c r="V61" s="9">
        <v>41456</v>
      </c>
      <c r="W61" s="6">
        <v>111</v>
      </c>
    </row>
    <row r="62" spans="15:23" x14ac:dyDescent="0.3">
      <c r="O62" s="8">
        <f t="shared" si="1"/>
        <v>38626</v>
      </c>
      <c r="P62" s="12">
        <v>2005</v>
      </c>
      <c r="Q62" t="s">
        <v>11</v>
      </c>
      <c r="R62" s="4">
        <v>68.8</v>
      </c>
      <c r="T62">
        <f t="shared" si="0"/>
        <v>57.182323302477471</v>
      </c>
      <c r="V62" s="9">
        <v>41487</v>
      </c>
      <c r="W62" s="6">
        <v>112.4</v>
      </c>
    </row>
    <row r="63" spans="15:23" x14ac:dyDescent="0.3">
      <c r="O63" s="8">
        <f t="shared" si="1"/>
        <v>38657</v>
      </c>
      <c r="P63" s="12">
        <v>2005</v>
      </c>
      <c r="Q63" t="s">
        <v>12</v>
      </c>
      <c r="R63" s="4">
        <v>69.5</v>
      </c>
      <c r="T63">
        <f t="shared" si="0"/>
        <v>57.764120196543374</v>
      </c>
      <c r="V63" s="9">
        <v>41518</v>
      </c>
      <c r="W63" s="6">
        <v>113.7</v>
      </c>
    </row>
    <row r="64" spans="15:23" x14ac:dyDescent="0.3">
      <c r="O64" s="8">
        <f t="shared" si="1"/>
        <v>38687</v>
      </c>
      <c r="P64" s="12">
        <v>2005</v>
      </c>
      <c r="Q64" t="s">
        <v>13</v>
      </c>
      <c r="R64" s="4">
        <v>69.2</v>
      </c>
      <c r="T64">
        <f t="shared" si="0"/>
        <v>57.514778670515135</v>
      </c>
      <c r="V64" s="9">
        <v>41548</v>
      </c>
      <c r="W64" s="6">
        <v>114.8</v>
      </c>
    </row>
    <row r="65" spans="15:23" x14ac:dyDescent="0.3">
      <c r="O65" s="8">
        <f t="shared" si="1"/>
        <v>38718</v>
      </c>
      <c r="P65" s="12">
        <v>2006</v>
      </c>
      <c r="Q65" t="s">
        <v>2</v>
      </c>
      <c r="R65" s="4">
        <v>69.3</v>
      </c>
      <c r="T65">
        <f t="shared" si="0"/>
        <v>57.597892512524545</v>
      </c>
      <c r="V65" s="9">
        <v>41579</v>
      </c>
      <c r="W65" s="6">
        <v>116.3</v>
      </c>
    </row>
    <row r="66" spans="15:23" x14ac:dyDescent="0.3">
      <c r="O66" s="8">
        <f t="shared" si="1"/>
        <v>38749</v>
      </c>
      <c r="P66" s="12">
        <v>2006</v>
      </c>
      <c r="Q66" t="s">
        <v>3</v>
      </c>
      <c r="R66" s="4">
        <v>69.3</v>
      </c>
      <c r="T66">
        <f t="shared" si="0"/>
        <v>57.597892512524545</v>
      </c>
      <c r="V66" s="9">
        <v>41609</v>
      </c>
      <c r="W66" s="6">
        <v>114.5</v>
      </c>
    </row>
    <row r="67" spans="15:23" x14ac:dyDescent="0.3">
      <c r="O67" s="8">
        <f t="shared" si="1"/>
        <v>38777</v>
      </c>
      <c r="P67" s="12">
        <v>2006</v>
      </c>
      <c r="Q67" t="s">
        <v>4</v>
      </c>
      <c r="R67" s="4">
        <v>69.3</v>
      </c>
      <c r="T67">
        <f t="shared" si="0"/>
        <v>57.597892512524545</v>
      </c>
      <c r="V67" s="9">
        <v>41640</v>
      </c>
      <c r="W67" s="6">
        <v>113.6</v>
      </c>
    </row>
    <row r="68" spans="15:23" x14ac:dyDescent="0.3">
      <c r="O68" s="8">
        <f t="shared" si="1"/>
        <v>38808</v>
      </c>
      <c r="P68" s="12">
        <v>2006</v>
      </c>
      <c r="Q68" t="s">
        <v>5</v>
      </c>
      <c r="R68" s="5">
        <v>70</v>
      </c>
      <c r="T68">
        <f t="shared" si="0"/>
        <v>58.179689406590448</v>
      </c>
      <c r="V68" s="9">
        <v>41671</v>
      </c>
      <c r="W68" s="6">
        <v>113.6</v>
      </c>
    </row>
    <row r="69" spans="15:23" x14ac:dyDescent="0.3">
      <c r="O69" s="8">
        <f t="shared" si="1"/>
        <v>38838</v>
      </c>
      <c r="P69" s="12">
        <v>2006</v>
      </c>
      <c r="Q69" t="s">
        <v>6</v>
      </c>
      <c r="R69" s="4">
        <v>70.900000000000006</v>
      </c>
      <c r="T69">
        <f t="shared" ref="T69:T132" si="2">R69*$U$160</f>
        <v>58.927713984675187</v>
      </c>
      <c r="V69" s="9">
        <v>41699</v>
      </c>
      <c r="W69" s="6">
        <v>114.2</v>
      </c>
    </row>
    <row r="70" spans="15:23" x14ac:dyDescent="0.3">
      <c r="O70" s="8">
        <f t="shared" ref="O70:O133" si="3">DATE(P70, MONTH(Q70&amp;"1"), 1)</f>
        <v>38869</v>
      </c>
      <c r="P70" s="12">
        <v>2006</v>
      </c>
      <c r="Q70" t="s">
        <v>7</v>
      </c>
      <c r="R70" s="4">
        <v>71.900000000000006</v>
      </c>
      <c r="T70">
        <f t="shared" si="2"/>
        <v>59.758852404769335</v>
      </c>
      <c r="V70" s="9">
        <v>41730</v>
      </c>
      <c r="W70" s="6">
        <v>115.1</v>
      </c>
    </row>
    <row r="71" spans="15:23" x14ac:dyDescent="0.3">
      <c r="O71" s="8">
        <f t="shared" si="3"/>
        <v>38899</v>
      </c>
      <c r="P71" s="12">
        <v>2006</v>
      </c>
      <c r="Q71" t="s">
        <v>8</v>
      </c>
      <c r="R71" s="4">
        <v>72.3</v>
      </c>
      <c r="T71">
        <f t="shared" si="2"/>
        <v>60.091307772806992</v>
      </c>
      <c r="V71" s="9">
        <v>41760</v>
      </c>
      <c r="W71" s="6">
        <v>115.8</v>
      </c>
    </row>
    <row r="72" spans="15:23" x14ac:dyDescent="0.3">
      <c r="O72" s="8">
        <f t="shared" si="3"/>
        <v>38930</v>
      </c>
      <c r="P72" s="12">
        <v>2006</v>
      </c>
      <c r="Q72" t="s">
        <v>9</v>
      </c>
      <c r="R72" s="4">
        <v>72.8</v>
      </c>
      <c r="T72">
        <f t="shared" si="2"/>
        <v>60.506876982854067</v>
      </c>
      <c r="V72" s="9">
        <v>41791</v>
      </c>
      <c r="W72" s="6">
        <v>116.7</v>
      </c>
    </row>
    <row r="73" spans="15:23" x14ac:dyDescent="0.3">
      <c r="O73" s="8">
        <f t="shared" si="3"/>
        <v>38961</v>
      </c>
      <c r="P73" s="12">
        <v>2006</v>
      </c>
      <c r="Q73" t="s">
        <v>10</v>
      </c>
      <c r="R73" s="4">
        <v>73.3</v>
      </c>
      <c r="T73">
        <f t="shared" si="2"/>
        <v>60.922446192901141</v>
      </c>
      <c r="V73" s="9">
        <v>41821</v>
      </c>
      <c r="W73" s="6">
        <v>119.2</v>
      </c>
    </row>
    <row r="74" spans="15:23" x14ac:dyDescent="0.3">
      <c r="O74" s="8">
        <f t="shared" si="3"/>
        <v>38991</v>
      </c>
      <c r="P74" s="12">
        <v>2006</v>
      </c>
      <c r="Q74" t="s">
        <v>11</v>
      </c>
      <c r="R74" s="4">
        <v>74.2</v>
      </c>
      <c r="T74">
        <f t="shared" si="2"/>
        <v>61.670470770985879</v>
      </c>
      <c r="V74" s="9">
        <v>41852</v>
      </c>
      <c r="W74" s="6">
        <v>120.3</v>
      </c>
    </row>
    <row r="75" spans="15:23" x14ac:dyDescent="0.3">
      <c r="O75" s="8">
        <f t="shared" si="3"/>
        <v>39022</v>
      </c>
      <c r="P75" s="12">
        <v>2006</v>
      </c>
      <c r="Q75" t="s">
        <v>12</v>
      </c>
      <c r="R75" s="4">
        <v>74.2</v>
      </c>
      <c r="T75">
        <f t="shared" si="2"/>
        <v>61.670470770985879</v>
      </c>
      <c r="V75" s="9">
        <v>41883</v>
      </c>
      <c r="W75" s="6">
        <v>120.1</v>
      </c>
    </row>
    <row r="76" spans="15:23" x14ac:dyDescent="0.3">
      <c r="O76" s="8">
        <f t="shared" si="3"/>
        <v>39052</v>
      </c>
      <c r="P76" s="12">
        <v>2006</v>
      </c>
      <c r="Q76" t="s">
        <v>13</v>
      </c>
      <c r="R76" s="4">
        <v>73.900000000000006</v>
      </c>
      <c r="T76">
        <f t="shared" si="2"/>
        <v>61.42112924495764</v>
      </c>
      <c r="V76" s="9">
        <v>41913</v>
      </c>
      <c r="W76" s="6">
        <v>120.1</v>
      </c>
    </row>
    <row r="77" spans="15:23" x14ac:dyDescent="0.3">
      <c r="O77" s="8">
        <f t="shared" si="3"/>
        <v>39083</v>
      </c>
      <c r="P77" s="12">
        <v>2007</v>
      </c>
      <c r="Q77" t="s">
        <v>2</v>
      </c>
      <c r="R77" s="4">
        <v>73.900000000000006</v>
      </c>
      <c r="T77">
        <f t="shared" si="2"/>
        <v>61.42112924495764</v>
      </c>
      <c r="V77" s="9">
        <v>41944</v>
      </c>
      <c r="W77" s="6">
        <v>120.1</v>
      </c>
    </row>
    <row r="78" spans="15:23" x14ac:dyDescent="0.3">
      <c r="O78" s="8">
        <f t="shared" si="3"/>
        <v>39114</v>
      </c>
      <c r="P78" s="12">
        <v>2007</v>
      </c>
      <c r="Q78" t="s">
        <v>3</v>
      </c>
      <c r="R78" s="4">
        <v>74.099999999999994</v>
      </c>
      <c r="T78">
        <f t="shared" si="2"/>
        <v>61.587356928976455</v>
      </c>
      <c r="V78" s="9">
        <v>41974</v>
      </c>
      <c r="W78" s="6">
        <v>119.4</v>
      </c>
    </row>
    <row r="79" spans="15:23" x14ac:dyDescent="0.3">
      <c r="O79" s="8">
        <f t="shared" si="3"/>
        <v>39142</v>
      </c>
      <c r="P79" s="12">
        <v>2007</v>
      </c>
      <c r="Q79" t="s">
        <v>4</v>
      </c>
      <c r="R79" s="4">
        <v>74.099999999999994</v>
      </c>
      <c r="T79">
        <f t="shared" si="2"/>
        <v>61.587356928976455</v>
      </c>
      <c r="V79" s="9">
        <v>42005</v>
      </c>
      <c r="W79" s="6">
        <v>119.5</v>
      </c>
    </row>
    <row r="80" spans="15:23" x14ac:dyDescent="0.3">
      <c r="O80" s="8">
        <f t="shared" si="3"/>
        <v>39173</v>
      </c>
      <c r="P80" s="12">
        <v>2007</v>
      </c>
      <c r="Q80" t="s">
        <v>5</v>
      </c>
      <c r="R80" s="4">
        <v>74.8</v>
      </c>
      <c r="T80">
        <f t="shared" si="2"/>
        <v>62.169153823042365</v>
      </c>
      <c r="V80" s="9">
        <v>42036</v>
      </c>
      <c r="W80" s="6">
        <v>119.7</v>
      </c>
    </row>
    <row r="81" spans="15:23" x14ac:dyDescent="0.3">
      <c r="O81" s="8">
        <f t="shared" si="3"/>
        <v>39203</v>
      </c>
      <c r="P81" s="12">
        <v>2007</v>
      </c>
      <c r="Q81" t="s">
        <v>6</v>
      </c>
      <c r="R81" s="4">
        <v>75.2</v>
      </c>
      <c r="T81">
        <f t="shared" si="2"/>
        <v>62.501609191080028</v>
      </c>
      <c r="V81" s="9">
        <v>42064</v>
      </c>
      <c r="W81" s="6">
        <v>120.2</v>
      </c>
    </row>
    <row r="82" spans="15:23" x14ac:dyDescent="0.3">
      <c r="O82" s="8">
        <f t="shared" si="3"/>
        <v>39234</v>
      </c>
      <c r="P82" s="12">
        <v>2007</v>
      </c>
      <c r="Q82" t="s">
        <v>7</v>
      </c>
      <c r="R82" s="4">
        <v>75.8</v>
      </c>
      <c r="T82">
        <f t="shared" si="2"/>
        <v>63.000292243136514</v>
      </c>
      <c r="V82" s="9">
        <v>42095</v>
      </c>
      <c r="W82" s="6">
        <v>120.7</v>
      </c>
    </row>
    <row r="83" spans="15:23" x14ac:dyDescent="0.3">
      <c r="O83" s="8">
        <f t="shared" si="3"/>
        <v>39264</v>
      </c>
      <c r="P83" s="12">
        <v>2007</v>
      </c>
      <c r="Q83" t="s">
        <v>8</v>
      </c>
      <c r="R83" s="4">
        <v>76.900000000000006</v>
      </c>
      <c r="T83">
        <f t="shared" si="2"/>
        <v>63.914544505240087</v>
      </c>
      <c r="V83" s="9">
        <v>42125</v>
      </c>
      <c r="W83" s="6">
        <v>121.6</v>
      </c>
    </row>
    <row r="84" spans="15:23" x14ac:dyDescent="0.3">
      <c r="O84" s="8">
        <f t="shared" si="3"/>
        <v>39295</v>
      </c>
      <c r="P84" s="12">
        <v>2007</v>
      </c>
      <c r="Q84" t="s">
        <v>9</v>
      </c>
      <c r="R84" s="4">
        <v>77.2</v>
      </c>
      <c r="T84">
        <f t="shared" si="2"/>
        <v>64.163886031268333</v>
      </c>
      <c r="V84" s="9">
        <v>42156</v>
      </c>
      <c r="W84" s="6">
        <v>123</v>
      </c>
    </row>
    <row r="85" spans="15:23" x14ac:dyDescent="0.3">
      <c r="O85" s="8">
        <f t="shared" si="3"/>
        <v>39326</v>
      </c>
      <c r="P85" s="12">
        <v>2007</v>
      </c>
      <c r="Q85" t="s">
        <v>10</v>
      </c>
      <c r="R85" s="4">
        <v>77.3</v>
      </c>
      <c r="T85">
        <f t="shared" si="2"/>
        <v>64.246999873277744</v>
      </c>
      <c r="V85" s="9">
        <v>42186</v>
      </c>
      <c r="W85" s="6">
        <v>123.6</v>
      </c>
    </row>
    <row r="86" spans="15:23" x14ac:dyDescent="0.3">
      <c r="O86" s="8">
        <f t="shared" si="3"/>
        <v>39356</v>
      </c>
      <c r="P86" s="12">
        <v>2007</v>
      </c>
      <c r="Q86" t="s">
        <v>11</v>
      </c>
      <c r="R86" s="4">
        <v>77.900000000000006</v>
      </c>
      <c r="T86">
        <f t="shared" si="2"/>
        <v>64.745682925334236</v>
      </c>
      <c r="V86" s="9">
        <v>42217</v>
      </c>
      <c r="W86" s="6">
        <v>124.8</v>
      </c>
    </row>
    <row r="87" spans="15:23" x14ac:dyDescent="0.3">
      <c r="O87" s="8">
        <f t="shared" si="3"/>
        <v>39387</v>
      </c>
      <c r="P87" s="12">
        <v>2007</v>
      </c>
      <c r="Q87" t="s">
        <v>12</v>
      </c>
      <c r="R87" s="5">
        <v>78</v>
      </c>
      <c r="T87">
        <f t="shared" si="2"/>
        <v>64.828796767343647</v>
      </c>
      <c r="V87" s="9">
        <v>42248</v>
      </c>
      <c r="W87" s="6">
        <v>125.4</v>
      </c>
    </row>
    <row r="88" spans="15:23" x14ac:dyDescent="0.3">
      <c r="O88" s="8">
        <f t="shared" si="3"/>
        <v>39417</v>
      </c>
      <c r="P88" s="12">
        <v>2007</v>
      </c>
      <c r="Q88" t="s">
        <v>13</v>
      </c>
      <c r="R88" s="5">
        <v>78</v>
      </c>
      <c r="T88">
        <f t="shared" si="2"/>
        <v>64.828796767343647</v>
      </c>
      <c r="V88" s="9">
        <v>42278</v>
      </c>
      <c r="W88" s="6">
        <v>126.1</v>
      </c>
    </row>
    <row r="89" spans="15:23" x14ac:dyDescent="0.3">
      <c r="O89" s="8">
        <f t="shared" si="3"/>
        <v>39448</v>
      </c>
      <c r="P89" s="12">
        <v>2008</v>
      </c>
      <c r="Q89" t="s">
        <v>2</v>
      </c>
      <c r="R89" s="4">
        <v>78.099999999999994</v>
      </c>
      <c r="T89">
        <f t="shared" si="2"/>
        <v>64.911910609353058</v>
      </c>
      <c r="V89" s="9">
        <v>42309</v>
      </c>
      <c r="W89" s="6">
        <v>126.6</v>
      </c>
    </row>
    <row r="90" spans="15:23" x14ac:dyDescent="0.3">
      <c r="O90" s="8">
        <f t="shared" si="3"/>
        <v>39479</v>
      </c>
      <c r="P90" s="12">
        <v>2008</v>
      </c>
      <c r="Q90" t="s">
        <v>3</v>
      </c>
      <c r="R90" s="4">
        <v>78.599999999999994</v>
      </c>
      <c r="T90">
        <f t="shared" si="2"/>
        <v>65.327479819400125</v>
      </c>
      <c r="V90" s="9">
        <v>42339</v>
      </c>
      <c r="W90" s="6">
        <v>126.1</v>
      </c>
    </row>
    <row r="91" spans="15:23" x14ac:dyDescent="0.3">
      <c r="O91" s="8">
        <f t="shared" si="3"/>
        <v>39508</v>
      </c>
      <c r="P91" s="12">
        <v>2008</v>
      </c>
      <c r="Q91" t="s">
        <v>4</v>
      </c>
      <c r="R91" s="4">
        <v>79.7</v>
      </c>
      <c r="T91">
        <f t="shared" si="2"/>
        <v>66.241732081503699</v>
      </c>
      <c r="V91" s="9">
        <v>42370</v>
      </c>
      <c r="W91" s="6">
        <v>126.3</v>
      </c>
    </row>
    <row r="92" spans="15:23" x14ac:dyDescent="0.3">
      <c r="O92" s="8">
        <f t="shared" si="3"/>
        <v>39539</v>
      </c>
      <c r="P92" s="12">
        <v>2008</v>
      </c>
      <c r="Q92" t="s">
        <v>5</v>
      </c>
      <c r="R92" s="4">
        <v>80.7</v>
      </c>
      <c r="T92">
        <f t="shared" si="2"/>
        <v>67.072870501597848</v>
      </c>
      <c r="V92" s="9">
        <v>42401</v>
      </c>
      <c r="W92" s="6">
        <v>126</v>
      </c>
    </row>
    <row r="93" spans="15:23" x14ac:dyDescent="0.3">
      <c r="O93" s="8">
        <f t="shared" si="3"/>
        <v>39569</v>
      </c>
      <c r="P93" s="12">
        <v>2008</v>
      </c>
      <c r="Q93" t="s">
        <v>6</v>
      </c>
      <c r="R93" s="4">
        <v>80.8</v>
      </c>
      <c r="T93">
        <f t="shared" si="2"/>
        <v>67.155984343607258</v>
      </c>
      <c r="V93" s="9">
        <v>42430</v>
      </c>
      <c r="W93" s="6">
        <v>126</v>
      </c>
    </row>
    <row r="94" spans="15:23" x14ac:dyDescent="0.3">
      <c r="O94" s="8">
        <f t="shared" si="3"/>
        <v>39600</v>
      </c>
      <c r="P94" s="12">
        <v>2008</v>
      </c>
      <c r="Q94" t="s">
        <v>7</v>
      </c>
      <c r="R94" s="4">
        <v>81.900000000000006</v>
      </c>
      <c r="T94">
        <f t="shared" si="2"/>
        <v>68.070236605710832</v>
      </c>
      <c r="V94" s="9">
        <v>42461</v>
      </c>
      <c r="W94" s="6">
        <v>127.3</v>
      </c>
    </row>
    <row r="95" spans="15:23" x14ac:dyDescent="0.3">
      <c r="O95" s="8">
        <f t="shared" si="3"/>
        <v>39630</v>
      </c>
      <c r="P95" s="12">
        <v>2008</v>
      </c>
      <c r="Q95" t="s">
        <v>8</v>
      </c>
      <c r="R95" s="4">
        <v>83.3</v>
      </c>
      <c r="T95">
        <f t="shared" si="2"/>
        <v>69.233830393842638</v>
      </c>
      <c r="V95" s="9">
        <v>42491</v>
      </c>
      <c r="W95" s="6">
        <v>128.6</v>
      </c>
    </row>
    <row r="96" spans="15:23" x14ac:dyDescent="0.3">
      <c r="O96" s="8">
        <f t="shared" si="3"/>
        <v>39661</v>
      </c>
      <c r="P96" s="12">
        <v>2008</v>
      </c>
      <c r="Q96" t="s">
        <v>9</v>
      </c>
      <c r="R96" s="4">
        <v>84.3</v>
      </c>
      <c r="T96">
        <f t="shared" si="2"/>
        <v>70.064968813936787</v>
      </c>
      <c r="V96" s="9">
        <v>42522</v>
      </c>
      <c r="W96" s="6">
        <v>130.1</v>
      </c>
    </row>
    <row r="97" spans="15:23" x14ac:dyDescent="0.3">
      <c r="O97" s="8">
        <f t="shared" si="3"/>
        <v>39692</v>
      </c>
      <c r="P97" s="12">
        <v>2008</v>
      </c>
      <c r="Q97" t="s">
        <v>10</v>
      </c>
      <c r="R97" s="4">
        <v>85.1</v>
      </c>
      <c r="T97">
        <f t="shared" si="2"/>
        <v>70.7298795500121</v>
      </c>
      <c r="V97" s="9">
        <v>42552</v>
      </c>
      <c r="W97" s="6">
        <v>131.1</v>
      </c>
    </row>
    <row r="98" spans="15:23" x14ac:dyDescent="0.3">
      <c r="O98" s="8">
        <f t="shared" si="3"/>
        <v>39722</v>
      </c>
      <c r="P98" s="12">
        <v>2008</v>
      </c>
      <c r="Q98" t="s">
        <v>11</v>
      </c>
      <c r="R98" s="4">
        <v>86.7</v>
      </c>
      <c r="T98">
        <f t="shared" si="2"/>
        <v>72.059701022162741</v>
      </c>
      <c r="V98" s="9">
        <v>42583</v>
      </c>
      <c r="W98" s="6">
        <v>131.1</v>
      </c>
    </row>
    <row r="99" spans="15:23" x14ac:dyDescent="0.3">
      <c r="O99" s="8">
        <f t="shared" si="3"/>
        <v>39753</v>
      </c>
      <c r="P99" s="12">
        <v>2008</v>
      </c>
      <c r="Q99" t="s">
        <v>12</v>
      </c>
      <c r="R99" s="4">
        <v>86.7</v>
      </c>
      <c r="T99">
        <f t="shared" si="2"/>
        <v>72.059701022162741</v>
      </c>
      <c r="V99" s="9">
        <v>42614</v>
      </c>
      <c r="W99" s="6">
        <v>130.9</v>
      </c>
    </row>
    <row r="100" spans="15:23" x14ac:dyDescent="0.3">
      <c r="O100" s="8">
        <f t="shared" si="3"/>
        <v>39783</v>
      </c>
      <c r="P100" s="12">
        <v>2008</v>
      </c>
      <c r="Q100" t="s">
        <v>13</v>
      </c>
      <c r="R100" s="4">
        <v>85.5</v>
      </c>
      <c r="T100">
        <f t="shared" si="2"/>
        <v>71.062334918049771</v>
      </c>
      <c r="V100" s="9">
        <v>42644</v>
      </c>
      <c r="W100" s="6">
        <v>131.4</v>
      </c>
    </row>
    <row r="101" spans="15:23" x14ac:dyDescent="0.3">
      <c r="O101" s="8">
        <f t="shared" si="3"/>
        <v>39814</v>
      </c>
      <c r="P101" s="12">
        <v>2009</v>
      </c>
      <c r="Q101" t="s">
        <v>2</v>
      </c>
      <c r="R101">
        <v>85.9</v>
      </c>
      <c r="T101">
        <f t="shared" si="2"/>
        <v>71.394790286087428</v>
      </c>
      <c r="V101" s="9">
        <v>42675</v>
      </c>
      <c r="W101" s="6">
        <v>131.19999999999999</v>
      </c>
    </row>
    <row r="102" spans="15:23" x14ac:dyDescent="0.3">
      <c r="O102" s="8">
        <f t="shared" si="3"/>
        <v>39845</v>
      </c>
      <c r="P102" s="12">
        <v>2009</v>
      </c>
      <c r="Q102" t="s">
        <v>3</v>
      </c>
      <c r="R102">
        <v>85.8</v>
      </c>
      <c r="T102">
        <f t="shared" si="2"/>
        <v>71.311676444078003</v>
      </c>
      <c r="V102" s="9">
        <v>42705</v>
      </c>
      <c r="W102" s="6">
        <v>130.4</v>
      </c>
    </row>
    <row r="103" spans="15:23" x14ac:dyDescent="0.3">
      <c r="O103" s="8">
        <f t="shared" si="3"/>
        <v>39873</v>
      </c>
      <c r="P103" s="12">
        <v>2009</v>
      </c>
      <c r="Q103" t="s">
        <v>4</v>
      </c>
      <c r="R103">
        <v>86.1</v>
      </c>
      <c r="T103">
        <f t="shared" si="2"/>
        <v>71.561017970106249</v>
      </c>
      <c r="V103" s="9">
        <v>42736</v>
      </c>
      <c r="W103" s="6">
        <v>130.30000000000001</v>
      </c>
    </row>
    <row r="104" spans="15:23" x14ac:dyDescent="0.3">
      <c r="O104" s="8">
        <f t="shared" si="3"/>
        <v>39904</v>
      </c>
      <c r="P104" s="12">
        <v>2009</v>
      </c>
      <c r="Q104" t="s">
        <v>5</v>
      </c>
      <c r="R104">
        <v>87</v>
      </c>
      <c r="T104">
        <f t="shared" si="2"/>
        <v>72.309042548190988</v>
      </c>
      <c r="V104" s="9">
        <v>42767</v>
      </c>
      <c r="W104" s="6">
        <v>130.6</v>
      </c>
    </row>
    <row r="105" spans="15:23" x14ac:dyDescent="0.3">
      <c r="O105" s="8">
        <f t="shared" si="3"/>
        <v>39934</v>
      </c>
      <c r="P105" s="12">
        <v>2009</v>
      </c>
      <c r="Q105" t="s">
        <v>6</v>
      </c>
      <c r="R105">
        <v>87.9</v>
      </c>
      <c r="T105">
        <f t="shared" si="2"/>
        <v>73.057067126275726</v>
      </c>
      <c r="V105" s="9">
        <v>42795</v>
      </c>
      <c r="W105" s="6">
        <v>130.9</v>
      </c>
    </row>
    <row r="106" spans="15:23" x14ac:dyDescent="0.3">
      <c r="O106" s="8">
        <f t="shared" si="3"/>
        <v>39965</v>
      </c>
      <c r="P106" s="12">
        <v>2009</v>
      </c>
      <c r="Q106" t="s">
        <v>7</v>
      </c>
      <c r="R106">
        <v>88.9</v>
      </c>
      <c r="T106">
        <f t="shared" si="2"/>
        <v>73.888205546369875</v>
      </c>
      <c r="V106" s="9">
        <v>42826</v>
      </c>
      <c r="W106" s="6">
        <v>131.1</v>
      </c>
    </row>
    <row r="107" spans="15:23" x14ac:dyDescent="0.3">
      <c r="O107" s="8">
        <f t="shared" si="3"/>
        <v>39995</v>
      </c>
      <c r="P107" s="12">
        <v>2009</v>
      </c>
      <c r="Q107" t="s">
        <v>8</v>
      </c>
      <c r="R107">
        <v>92</v>
      </c>
      <c r="T107">
        <f t="shared" si="2"/>
        <v>76.464734648661732</v>
      </c>
      <c r="V107" s="9">
        <v>42856</v>
      </c>
      <c r="W107" s="6">
        <v>131.4</v>
      </c>
    </row>
    <row r="108" spans="15:23" x14ac:dyDescent="0.3">
      <c r="O108" s="8">
        <f t="shared" si="3"/>
        <v>40026</v>
      </c>
      <c r="P108" s="12">
        <v>2009</v>
      </c>
      <c r="Q108" t="s">
        <v>9</v>
      </c>
      <c r="R108">
        <v>92.9</v>
      </c>
      <c r="T108">
        <f t="shared" si="2"/>
        <v>77.212759226746471</v>
      </c>
      <c r="V108" s="9">
        <v>42887</v>
      </c>
      <c r="W108" s="6">
        <v>132</v>
      </c>
    </row>
    <row r="109" spans="15:23" x14ac:dyDescent="0.3">
      <c r="O109" s="8">
        <f t="shared" si="3"/>
        <v>40057</v>
      </c>
      <c r="P109" s="12">
        <v>2009</v>
      </c>
      <c r="Q109" t="s">
        <v>10</v>
      </c>
      <c r="R109">
        <v>93.6</v>
      </c>
      <c r="T109">
        <f t="shared" si="2"/>
        <v>77.794556120812373</v>
      </c>
      <c r="V109" s="9">
        <v>42917</v>
      </c>
      <c r="W109" s="6">
        <v>134.19999999999999</v>
      </c>
    </row>
    <row r="110" spans="15:23" x14ac:dyDescent="0.3">
      <c r="O110" s="8">
        <f t="shared" si="3"/>
        <v>40087</v>
      </c>
      <c r="P110" s="12">
        <v>2009</v>
      </c>
      <c r="Q110" t="s">
        <v>11</v>
      </c>
      <c r="R110">
        <v>94.6</v>
      </c>
      <c r="T110">
        <f t="shared" si="2"/>
        <v>78.625694540906522</v>
      </c>
      <c r="V110" s="9">
        <v>42948</v>
      </c>
      <c r="W110" s="6">
        <v>135.4</v>
      </c>
    </row>
    <row r="111" spans="15:23" x14ac:dyDescent="0.3">
      <c r="O111" s="8">
        <f t="shared" si="3"/>
        <v>40118</v>
      </c>
      <c r="P111" s="12">
        <v>2009</v>
      </c>
      <c r="Q111" t="s">
        <v>12</v>
      </c>
      <c r="R111">
        <v>96.5</v>
      </c>
      <c r="T111">
        <f t="shared" si="2"/>
        <v>80.20485753908541</v>
      </c>
      <c r="V111" s="9">
        <v>42979</v>
      </c>
      <c r="W111" s="6">
        <v>135.19999999999999</v>
      </c>
    </row>
    <row r="112" spans="15:23" x14ac:dyDescent="0.3">
      <c r="O112" s="8">
        <f t="shared" si="3"/>
        <v>40148</v>
      </c>
      <c r="P112" s="12">
        <v>2009</v>
      </c>
      <c r="Q112" t="s">
        <v>13</v>
      </c>
      <c r="R112">
        <v>96.7</v>
      </c>
      <c r="T112">
        <f t="shared" si="2"/>
        <v>80.371085223104245</v>
      </c>
      <c r="V112" s="9">
        <v>43009</v>
      </c>
      <c r="W112" s="6">
        <v>136.1</v>
      </c>
    </row>
    <row r="113" spans="15:23" x14ac:dyDescent="0.3">
      <c r="O113" s="8">
        <f t="shared" si="3"/>
        <v>40179</v>
      </c>
      <c r="P113" s="12">
        <v>2010</v>
      </c>
      <c r="Q113" t="s">
        <v>2</v>
      </c>
      <c r="R113">
        <v>97.4</v>
      </c>
      <c r="T113">
        <f t="shared" si="2"/>
        <v>80.952882117170148</v>
      </c>
      <c r="V113" s="9">
        <v>43040</v>
      </c>
      <c r="W113" s="6">
        <v>137.6</v>
      </c>
    </row>
    <row r="114" spans="15:23" x14ac:dyDescent="0.3">
      <c r="O114" s="8">
        <f t="shared" si="3"/>
        <v>40210</v>
      </c>
      <c r="P114" s="12">
        <v>2010</v>
      </c>
      <c r="Q114" t="s">
        <v>3</v>
      </c>
      <c r="R114">
        <v>96.5</v>
      </c>
      <c r="T114">
        <f t="shared" si="2"/>
        <v>80.20485753908541</v>
      </c>
      <c r="V114" s="9">
        <v>43070</v>
      </c>
      <c r="W114" s="6">
        <v>137.19999999999999</v>
      </c>
    </row>
    <row r="115" spans="15:23" x14ac:dyDescent="0.3">
      <c r="O115" s="8">
        <f t="shared" si="3"/>
        <v>40238</v>
      </c>
      <c r="P115" s="12">
        <v>2010</v>
      </c>
      <c r="Q115" t="s">
        <v>4</v>
      </c>
      <c r="R115">
        <v>96.3</v>
      </c>
      <c r="T115">
        <f t="shared" si="2"/>
        <v>80.038629855066574</v>
      </c>
      <c r="V115" s="9">
        <v>43101</v>
      </c>
      <c r="W115" s="6">
        <v>136.9</v>
      </c>
    </row>
    <row r="116" spans="15:23" x14ac:dyDescent="0.3">
      <c r="O116" s="8">
        <f t="shared" si="3"/>
        <v>40269</v>
      </c>
      <c r="P116" s="12">
        <v>2010</v>
      </c>
      <c r="Q116" t="s">
        <v>5</v>
      </c>
      <c r="R116">
        <v>97</v>
      </c>
      <c r="T116">
        <f t="shared" si="2"/>
        <v>80.620426749132477</v>
      </c>
      <c r="V116" s="9">
        <v>43132</v>
      </c>
      <c r="W116" s="6">
        <v>136.4</v>
      </c>
    </row>
    <row r="117" spans="15:23" x14ac:dyDescent="0.3">
      <c r="O117" s="8">
        <f t="shared" si="3"/>
        <v>40299</v>
      </c>
      <c r="P117" s="12">
        <v>2010</v>
      </c>
      <c r="Q117" t="s">
        <v>6</v>
      </c>
      <c r="R117">
        <v>97.8</v>
      </c>
      <c r="T117">
        <f t="shared" si="2"/>
        <v>81.285337485207805</v>
      </c>
      <c r="V117" s="9">
        <v>43160</v>
      </c>
      <c r="W117" s="6">
        <v>136.5</v>
      </c>
    </row>
    <row r="118" spans="15:23" x14ac:dyDescent="0.3">
      <c r="O118" s="8">
        <f t="shared" si="3"/>
        <v>40330</v>
      </c>
      <c r="P118" s="12">
        <v>2010</v>
      </c>
      <c r="Q118" t="s">
        <v>7</v>
      </c>
      <c r="R118">
        <v>99</v>
      </c>
      <c r="T118">
        <f t="shared" si="2"/>
        <v>82.282703589320775</v>
      </c>
      <c r="V118" s="9">
        <v>43191</v>
      </c>
      <c r="W118" s="6">
        <v>137.1</v>
      </c>
    </row>
    <row r="119" spans="15:23" x14ac:dyDescent="0.3">
      <c r="O119" s="8">
        <f t="shared" si="3"/>
        <v>40360</v>
      </c>
      <c r="P119" s="12">
        <v>2010</v>
      </c>
      <c r="Q119" t="s">
        <v>8</v>
      </c>
      <c r="R119">
        <v>101.3</v>
      </c>
      <c r="T119">
        <f t="shared" si="2"/>
        <v>84.194321955537319</v>
      </c>
      <c r="V119" s="9">
        <v>43221</v>
      </c>
      <c r="W119" s="6">
        <v>137.80000000000001</v>
      </c>
    </row>
    <row r="120" spans="15:23" x14ac:dyDescent="0.3">
      <c r="O120" s="8">
        <f t="shared" si="3"/>
        <v>40391</v>
      </c>
      <c r="P120" s="12">
        <v>2010</v>
      </c>
      <c r="Q120" t="s">
        <v>9</v>
      </c>
      <c r="R120">
        <v>101.4</v>
      </c>
      <c r="T120">
        <f t="shared" si="2"/>
        <v>84.277435797546744</v>
      </c>
      <c r="V120" s="9">
        <v>43252</v>
      </c>
      <c r="W120" s="6">
        <v>138.5</v>
      </c>
    </row>
    <row r="121" spans="15:23" x14ac:dyDescent="0.3">
      <c r="O121" s="8">
        <f t="shared" si="3"/>
        <v>40422</v>
      </c>
      <c r="P121" s="12">
        <v>2010</v>
      </c>
      <c r="Q121" t="s">
        <v>10</v>
      </c>
      <c r="R121">
        <v>102.3</v>
      </c>
      <c r="T121">
        <f t="shared" si="2"/>
        <v>85.025460375631468</v>
      </c>
      <c r="V121" s="9">
        <v>43282</v>
      </c>
      <c r="W121" s="6">
        <v>139.80000000000001</v>
      </c>
    </row>
    <row r="122" spans="15:23" x14ac:dyDescent="0.3">
      <c r="O122" s="8">
        <f t="shared" si="3"/>
        <v>40452</v>
      </c>
      <c r="P122" s="12">
        <v>2010</v>
      </c>
      <c r="Q122" t="s">
        <v>11</v>
      </c>
      <c r="R122">
        <v>102.9</v>
      </c>
      <c r="T122">
        <f t="shared" si="2"/>
        <v>85.52414342768796</v>
      </c>
      <c r="V122" s="9">
        <v>43313</v>
      </c>
      <c r="W122" s="6">
        <v>140.4</v>
      </c>
    </row>
    <row r="123" spans="15:23" x14ac:dyDescent="0.3">
      <c r="O123" s="8">
        <f t="shared" si="3"/>
        <v>40483</v>
      </c>
      <c r="P123" s="12">
        <v>2010</v>
      </c>
      <c r="Q123" t="s">
        <v>12</v>
      </c>
      <c r="R123">
        <v>103.5</v>
      </c>
      <c r="T123">
        <f t="shared" si="2"/>
        <v>86.022826479744452</v>
      </c>
      <c r="V123" s="9">
        <v>43344</v>
      </c>
      <c r="W123" s="6">
        <v>140.19999999999999</v>
      </c>
    </row>
    <row r="124" spans="15:23" x14ac:dyDescent="0.3">
      <c r="O124" s="8">
        <f t="shared" si="3"/>
        <v>40513</v>
      </c>
      <c r="P124" s="12">
        <v>2010</v>
      </c>
      <c r="Q124" t="s">
        <v>13</v>
      </c>
      <c r="R124">
        <v>104.7</v>
      </c>
      <c r="T124">
        <f t="shared" si="2"/>
        <v>87.020192583857437</v>
      </c>
      <c r="V124" s="9">
        <v>43374</v>
      </c>
      <c r="W124" s="6">
        <v>140.69999999999999</v>
      </c>
    </row>
    <row r="125" spans="15:23" x14ac:dyDescent="0.3">
      <c r="O125" s="8">
        <f t="shared" si="3"/>
        <v>40544</v>
      </c>
      <c r="P125" s="12">
        <v>2011</v>
      </c>
      <c r="Q125" t="s">
        <v>2</v>
      </c>
      <c r="R125" s="4">
        <v>105.9</v>
      </c>
      <c r="S125" s="6">
        <v>89.5</v>
      </c>
      <c r="T125">
        <f t="shared" si="2"/>
        <v>88.017558687970421</v>
      </c>
      <c r="V125" s="9">
        <v>43405</v>
      </c>
      <c r="W125" s="6">
        <v>140.80000000000001</v>
      </c>
    </row>
    <row r="126" spans="15:23" x14ac:dyDescent="0.3">
      <c r="O126" s="8">
        <f t="shared" si="3"/>
        <v>40575</v>
      </c>
      <c r="P126" s="12">
        <v>2011</v>
      </c>
      <c r="Q126" t="s">
        <v>3</v>
      </c>
      <c r="R126" s="4">
        <v>105.3</v>
      </c>
      <c r="S126" s="6">
        <v>88.4</v>
      </c>
      <c r="T126">
        <f t="shared" si="2"/>
        <v>87.518875635913915</v>
      </c>
      <c r="V126" s="9">
        <v>43435</v>
      </c>
      <c r="W126" s="6">
        <v>140.1</v>
      </c>
    </row>
    <row r="127" spans="15:23" x14ac:dyDescent="0.3">
      <c r="O127" s="8">
        <f t="shared" si="3"/>
        <v>40603</v>
      </c>
      <c r="P127" s="12">
        <v>2011</v>
      </c>
      <c r="Q127" t="s">
        <v>4</v>
      </c>
      <c r="R127" s="4">
        <v>105.6</v>
      </c>
      <c r="S127" s="6">
        <v>88.4</v>
      </c>
      <c r="T127">
        <f t="shared" si="2"/>
        <v>87.768217161942161</v>
      </c>
      <c r="V127" s="9">
        <v>43466</v>
      </c>
      <c r="W127" s="6">
        <v>139.6</v>
      </c>
    </row>
    <row r="128" spans="15:23" x14ac:dyDescent="0.3">
      <c r="O128" s="8">
        <f t="shared" si="3"/>
        <v>40634</v>
      </c>
      <c r="P128" s="12">
        <v>2011</v>
      </c>
      <c r="Q128" t="s">
        <v>5</v>
      </c>
      <c r="R128" s="4">
        <v>106.2</v>
      </c>
      <c r="S128" s="6">
        <v>89.1</v>
      </c>
      <c r="T128">
        <f t="shared" si="2"/>
        <v>88.266900213998653</v>
      </c>
      <c r="V128" s="9">
        <v>43497</v>
      </c>
      <c r="W128" s="6">
        <v>139.9</v>
      </c>
    </row>
    <row r="129" spans="15:23" x14ac:dyDescent="0.3">
      <c r="O129" s="8">
        <f t="shared" si="3"/>
        <v>40664</v>
      </c>
      <c r="P129" s="12">
        <v>2011</v>
      </c>
      <c r="Q129" t="s">
        <v>6</v>
      </c>
      <c r="R129" s="4">
        <v>107.1</v>
      </c>
      <c r="S129" s="6">
        <v>89.8</v>
      </c>
      <c r="T129">
        <f t="shared" si="2"/>
        <v>89.014924792083377</v>
      </c>
      <c r="V129" s="9">
        <v>43525</v>
      </c>
      <c r="W129" s="6">
        <v>140.4</v>
      </c>
    </row>
    <row r="130" spans="15:23" x14ac:dyDescent="0.3">
      <c r="O130" s="8">
        <f t="shared" si="3"/>
        <v>40695</v>
      </c>
      <c r="P130" s="12">
        <v>2011</v>
      </c>
      <c r="Q130" t="s">
        <v>7</v>
      </c>
      <c r="R130" s="4">
        <v>108.8</v>
      </c>
      <c r="S130" s="6">
        <v>90.6</v>
      </c>
      <c r="T130">
        <f t="shared" si="2"/>
        <v>90.427860106243443</v>
      </c>
      <c r="V130" s="9">
        <v>43556</v>
      </c>
      <c r="W130" s="6">
        <v>141.19999999999999</v>
      </c>
    </row>
    <row r="131" spans="15:23" x14ac:dyDescent="0.3">
      <c r="O131" s="8">
        <f t="shared" si="3"/>
        <v>40725</v>
      </c>
      <c r="P131" s="12">
        <v>2011</v>
      </c>
      <c r="Q131" t="s">
        <v>8</v>
      </c>
      <c r="R131" s="4">
        <v>110.5</v>
      </c>
      <c r="S131" s="6">
        <v>91.8</v>
      </c>
      <c r="T131">
        <f t="shared" si="2"/>
        <v>91.840795420403495</v>
      </c>
      <c r="V131" s="9">
        <v>43586</v>
      </c>
      <c r="W131" s="6">
        <v>142</v>
      </c>
    </row>
    <row r="132" spans="15:23" x14ac:dyDescent="0.3">
      <c r="O132" s="8">
        <f t="shared" si="3"/>
        <v>40756</v>
      </c>
      <c r="P132" s="12">
        <v>2011</v>
      </c>
      <c r="Q132" t="s">
        <v>9</v>
      </c>
      <c r="R132" s="4">
        <v>111.7</v>
      </c>
      <c r="S132" s="6">
        <v>92.7</v>
      </c>
      <c r="T132">
        <f t="shared" si="2"/>
        <v>92.83816152451648</v>
      </c>
      <c r="V132" s="9">
        <v>43617</v>
      </c>
      <c r="W132" s="6">
        <v>142.9</v>
      </c>
    </row>
    <row r="133" spans="15:23" x14ac:dyDescent="0.3">
      <c r="O133" s="8">
        <f t="shared" si="3"/>
        <v>40787</v>
      </c>
      <c r="P133" s="12">
        <v>2011</v>
      </c>
      <c r="Q133" t="s">
        <v>10</v>
      </c>
      <c r="R133" s="5">
        <v>113</v>
      </c>
      <c r="S133" s="6">
        <v>93.8</v>
      </c>
      <c r="T133">
        <f t="shared" ref="T133:T159" si="4">R133*$U$160</f>
        <v>93.918641470638875</v>
      </c>
      <c r="V133" s="9">
        <v>43647</v>
      </c>
      <c r="W133" s="6">
        <v>144.19999999999999</v>
      </c>
    </row>
    <row r="134" spans="15:23" x14ac:dyDescent="0.3">
      <c r="O134" s="8">
        <f t="shared" ref="O134:O160" si="5">DATE(P134, MONTH(Q134&amp;"1"), 1)</f>
        <v>40817</v>
      </c>
      <c r="P134" s="12">
        <v>2011</v>
      </c>
      <c r="Q134" t="s">
        <v>11</v>
      </c>
      <c r="R134" s="4">
        <v>113.8</v>
      </c>
      <c r="S134" s="6">
        <v>94.8</v>
      </c>
      <c r="T134">
        <f t="shared" si="4"/>
        <v>94.583552206714188</v>
      </c>
      <c r="V134" s="9">
        <v>43678</v>
      </c>
      <c r="W134" s="6">
        <v>145</v>
      </c>
    </row>
    <row r="135" spans="15:23" x14ac:dyDescent="0.3">
      <c r="O135" s="8">
        <f t="shared" si="5"/>
        <v>40848</v>
      </c>
      <c r="P135" s="12">
        <v>2011</v>
      </c>
      <c r="Q135" t="s">
        <v>12</v>
      </c>
      <c r="R135" s="4">
        <v>114.1</v>
      </c>
      <c r="S135" s="6">
        <v>95.2</v>
      </c>
      <c r="T135">
        <f t="shared" si="4"/>
        <v>94.832893732742434</v>
      </c>
      <c r="V135" s="9">
        <v>43709</v>
      </c>
      <c r="W135" s="6">
        <v>145.80000000000001</v>
      </c>
    </row>
    <row r="136" spans="15:23" x14ac:dyDescent="0.3">
      <c r="O136" s="8">
        <f t="shared" si="5"/>
        <v>40878</v>
      </c>
      <c r="P136" s="12">
        <v>2011</v>
      </c>
      <c r="Q136" t="s">
        <v>13</v>
      </c>
      <c r="R136" s="4">
        <v>113.6</v>
      </c>
      <c r="S136" s="6">
        <v>94.7</v>
      </c>
      <c r="T136">
        <f t="shared" si="4"/>
        <v>94.417324522695353</v>
      </c>
      <c r="V136" s="9">
        <v>43739</v>
      </c>
      <c r="W136" s="6">
        <v>147.19999999999999</v>
      </c>
    </row>
    <row r="137" spans="15:23" x14ac:dyDescent="0.3">
      <c r="O137" s="8">
        <f t="shared" si="5"/>
        <v>40909</v>
      </c>
      <c r="P137" s="12">
        <v>2012</v>
      </c>
      <c r="Q137" t="s">
        <v>2</v>
      </c>
      <c r="R137" s="5">
        <v>114</v>
      </c>
      <c r="S137" s="6">
        <v>95.1</v>
      </c>
      <c r="T137">
        <f t="shared" si="4"/>
        <v>94.749779890733024</v>
      </c>
      <c r="V137" s="9">
        <v>43770</v>
      </c>
      <c r="W137" s="6">
        <v>148.6</v>
      </c>
    </row>
    <row r="138" spans="15:23" x14ac:dyDescent="0.3">
      <c r="O138" s="8">
        <f t="shared" si="5"/>
        <v>40940</v>
      </c>
      <c r="P138" s="12">
        <v>2012</v>
      </c>
      <c r="Q138" t="s">
        <v>3</v>
      </c>
      <c r="R138" s="4">
        <v>114.6</v>
      </c>
      <c r="S138" s="6">
        <v>95.5</v>
      </c>
      <c r="T138">
        <f t="shared" si="4"/>
        <v>95.248462942789502</v>
      </c>
      <c r="V138" s="9">
        <v>43800</v>
      </c>
      <c r="W138" s="6">
        <v>150.4</v>
      </c>
    </row>
    <row r="139" spans="15:23" x14ac:dyDescent="0.3">
      <c r="O139" s="8">
        <f t="shared" si="5"/>
        <v>40969</v>
      </c>
      <c r="P139" s="12">
        <v>2012</v>
      </c>
      <c r="Q139" t="s">
        <v>4</v>
      </c>
      <c r="R139" s="4">
        <v>115.5</v>
      </c>
      <c r="S139" s="6">
        <v>96.4</v>
      </c>
      <c r="T139">
        <f t="shared" si="4"/>
        <v>95.99648752087424</v>
      </c>
      <c r="V139" s="9">
        <v>43831</v>
      </c>
      <c r="W139" s="6">
        <v>150.19999999999999</v>
      </c>
    </row>
    <row r="140" spans="15:23" x14ac:dyDescent="0.3">
      <c r="O140" s="8">
        <f t="shared" si="5"/>
        <v>41000</v>
      </c>
      <c r="P140" s="12">
        <v>2012</v>
      </c>
      <c r="Q140" t="s">
        <v>5</v>
      </c>
      <c r="R140" s="4">
        <v>117.1</v>
      </c>
      <c r="S140" s="6">
        <v>97.8</v>
      </c>
      <c r="T140">
        <f t="shared" si="4"/>
        <v>97.326308993024881</v>
      </c>
      <c r="V140" s="9">
        <v>43862</v>
      </c>
      <c r="W140" s="6">
        <v>149.1</v>
      </c>
    </row>
    <row r="141" spans="15:23" x14ac:dyDescent="0.3">
      <c r="O141" s="8">
        <f t="shared" si="5"/>
        <v>41030</v>
      </c>
      <c r="P141" s="12">
        <v>2012</v>
      </c>
      <c r="Q141" t="s">
        <v>6</v>
      </c>
      <c r="R141" s="4">
        <v>118.2</v>
      </c>
      <c r="S141" s="6">
        <v>98.6</v>
      </c>
      <c r="T141">
        <f t="shared" si="4"/>
        <v>98.240561255128455</v>
      </c>
      <c r="V141" s="9">
        <v>43891</v>
      </c>
      <c r="W141" s="6">
        <v>148.6</v>
      </c>
    </row>
    <row r="142" spans="15:23" x14ac:dyDescent="0.3">
      <c r="O142" s="8">
        <f t="shared" si="5"/>
        <v>41061</v>
      </c>
      <c r="P142" s="12">
        <v>2012</v>
      </c>
      <c r="Q142" t="s">
        <v>7</v>
      </c>
      <c r="R142" s="4">
        <v>119.6</v>
      </c>
      <c r="S142" s="6">
        <v>99.8</v>
      </c>
      <c r="T142">
        <f t="shared" si="4"/>
        <v>99.404155043260246</v>
      </c>
      <c r="V142" s="9">
        <v>43922</v>
      </c>
      <c r="W142" s="6">
        <v>151.4</v>
      </c>
    </row>
    <row r="143" spans="15:23" x14ac:dyDescent="0.3">
      <c r="O143" s="8">
        <f t="shared" si="5"/>
        <v>41091</v>
      </c>
      <c r="P143" s="12">
        <v>2012</v>
      </c>
      <c r="Q143" t="s">
        <v>8</v>
      </c>
      <c r="R143" s="4">
        <v>121.4</v>
      </c>
      <c r="S143" s="6">
        <v>101.1</v>
      </c>
      <c r="T143">
        <f t="shared" si="4"/>
        <v>100.90020419942972</v>
      </c>
      <c r="V143" s="9">
        <v>43952</v>
      </c>
      <c r="W143" s="6">
        <v>150.9</v>
      </c>
    </row>
    <row r="144" spans="15:23" x14ac:dyDescent="0.3">
      <c r="O144" s="8">
        <f t="shared" si="5"/>
        <v>41122</v>
      </c>
      <c r="P144" s="12">
        <v>2012</v>
      </c>
      <c r="Q144" t="s">
        <v>9</v>
      </c>
      <c r="R144" s="4">
        <v>122.9</v>
      </c>
      <c r="S144" s="6">
        <v>102.2</v>
      </c>
      <c r="T144">
        <f t="shared" si="4"/>
        <v>102.14691182957095</v>
      </c>
      <c r="V144" s="9">
        <v>43983</v>
      </c>
      <c r="W144" s="6">
        <v>151.80000000000001</v>
      </c>
    </row>
    <row r="145" spans="15:23" x14ac:dyDescent="0.3">
      <c r="O145" s="8">
        <f t="shared" si="5"/>
        <v>41153</v>
      </c>
      <c r="P145" s="12">
        <v>2012</v>
      </c>
      <c r="Q145" t="s">
        <v>10</v>
      </c>
      <c r="R145" s="5">
        <v>124</v>
      </c>
      <c r="S145" s="6">
        <v>102.9</v>
      </c>
      <c r="T145">
        <f t="shared" si="4"/>
        <v>103.06116409167451</v>
      </c>
      <c r="V145" s="9">
        <v>44013</v>
      </c>
      <c r="W145" s="6">
        <v>153.9</v>
      </c>
    </row>
    <row r="146" spans="15:23" x14ac:dyDescent="0.3">
      <c r="O146" s="8">
        <f t="shared" si="5"/>
        <v>41183</v>
      </c>
      <c r="P146" s="12">
        <v>2012</v>
      </c>
      <c r="Q146" t="s">
        <v>11</v>
      </c>
      <c r="R146" s="4">
        <v>124.9</v>
      </c>
      <c r="S146" s="6">
        <v>103.6</v>
      </c>
      <c r="T146">
        <f t="shared" si="4"/>
        <v>103.80918866975925</v>
      </c>
      <c r="V146" s="9">
        <v>44044</v>
      </c>
      <c r="W146" s="6">
        <v>154.69999999999999</v>
      </c>
    </row>
    <row r="147" spans="15:23" x14ac:dyDescent="0.3">
      <c r="O147" s="8">
        <f t="shared" si="5"/>
        <v>41214</v>
      </c>
      <c r="P147" s="12">
        <v>2012</v>
      </c>
      <c r="Q147" t="s">
        <v>12</v>
      </c>
      <c r="R147" s="4">
        <v>125.4</v>
      </c>
      <c r="S147" s="6">
        <v>104.3</v>
      </c>
      <c r="T147">
        <f t="shared" si="4"/>
        <v>104.22475787980632</v>
      </c>
      <c r="V147" s="9">
        <v>44075</v>
      </c>
      <c r="W147" s="6">
        <v>156.4</v>
      </c>
    </row>
    <row r="148" spans="15:23" x14ac:dyDescent="0.3">
      <c r="O148" s="8">
        <f t="shared" si="5"/>
        <v>41244</v>
      </c>
      <c r="P148" s="12">
        <v>2012</v>
      </c>
      <c r="Q148" t="s">
        <v>13</v>
      </c>
      <c r="R148" s="4">
        <v>125.6</v>
      </c>
      <c r="S148" s="6">
        <v>104.6</v>
      </c>
      <c r="T148">
        <f t="shared" si="4"/>
        <v>104.39098556382514</v>
      </c>
      <c r="V148" s="9">
        <v>44105</v>
      </c>
      <c r="W148" s="6">
        <v>158.4</v>
      </c>
    </row>
    <row r="149" spans="15:23" x14ac:dyDescent="0.3">
      <c r="O149" s="8">
        <f t="shared" si="5"/>
        <v>41275</v>
      </c>
      <c r="P149" s="12">
        <v>2013</v>
      </c>
      <c r="Q149" t="s">
        <v>2</v>
      </c>
      <c r="R149" s="4">
        <v>126.3</v>
      </c>
      <c r="S149" s="6">
        <v>104.6</v>
      </c>
      <c r="T149">
        <f t="shared" si="4"/>
        <v>104.97278245789106</v>
      </c>
      <c r="V149" s="9">
        <v>44136</v>
      </c>
      <c r="W149" s="6">
        <v>158.9</v>
      </c>
    </row>
    <row r="150" spans="15:23" x14ac:dyDescent="0.3">
      <c r="O150" s="8">
        <f t="shared" si="5"/>
        <v>41306</v>
      </c>
      <c r="P150" s="12">
        <v>2013</v>
      </c>
      <c r="Q150" t="s">
        <v>3</v>
      </c>
      <c r="R150" s="4">
        <v>127.1</v>
      </c>
      <c r="S150" s="6">
        <v>105.3</v>
      </c>
      <c r="T150">
        <f t="shared" si="4"/>
        <v>105.63769319396637</v>
      </c>
      <c r="V150" s="9">
        <v>44166</v>
      </c>
      <c r="W150" s="6">
        <v>157.30000000000001</v>
      </c>
    </row>
    <row r="151" spans="15:23" x14ac:dyDescent="0.3">
      <c r="O151" s="8">
        <f t="shared" si="5"/>
        <v>41334</v>
      </c>
      <c r="P151" s="12">
        <v>2013</v>
      </c>
      <c r="Q151" t="s">
        <v>4</v>
      </c>
      <c r="R151" s="4">
        <v>127.5</v>
      </c>
      <c r="S151" s="6">
        <v>105.5</v>
      </c>
      <c r="T151">
        <f t="shared" si="4"/>
        <v>105.97014856200403</v>
      </c>
      <c r="V151" s="9">
        <v>44197</v>
      </c>
      <c r="W151" s="6">
        <v>156.30000000000001</v>
      </c>
    </row>
    <row r="152" spans="15:23" x14ac:dyDescent="0.3">
      <c r="O152" s="8">
        <f t="shared" si="5"/>
        <v>41365</v>
      </c>
      <c r="P152" s="12">
        <v>2013</v>
      </c>
      <c r="Q152" t="s">
        <v>5</v>
      </c>
      <c r="R152" s="4">
        <v>128.1</v>
      </c>
      <c r="S152" s="6">
        <v>106.1</v>
      </c>
      <c r="T152">
        <f t="shared" si="4"/>
        <v>106.46883161406052</v>
      </c>
      <c r="V152" s="9">
        <v>44228</v>
      </c>
      <c r="W152" s="6">
        <v>156.6</v>
      </c>
    </row>
    <row r="153" spans="15:23" x14ac:dyDescent="0.3">
      <c r="O153" s="8">
        <f t="shared" si="5"/>
        <v>41395</v>
      </c>
      <c r="P153" s="12">
        <v>2013</v>
      </c>
      <c r="Q153" t="s">
        <v>6</v>
      </c>
      <c r="R153" s="4">
        <v>129.19999999999999</v>
      </c>
      <c r="S153" s="6">
        <v>106.9</v>
      </c>
      <c r="T153">
        <f t="shared" si="4"/>
        <v>107.38308387616408</v>
      </c>
      <c r="V153" s="9">
        <v>44256</v>
      </c>
      <c r="W153" s="6">
        <v>156.80000000000001</v>
      </c>
    </row>
    <row r="154" spans="15:23" x14ac:dyDescent="0.3">
      <c r="O154" s="8">
        <f t="shared" si="5"/>
        <v>41426</v>
      </c>
      <c r="P154" s="12">
        <v>2013</v>
      </c>
      <c r="Q154" t="s">
        <v>7</v>
      </c>
      <c r="R154" s="4">
        <v>131.4</v>
      </c>
      <c r="S154" s="6">
        <v>109.3</v>
      </c>
      <c r="T154">
        <f t="shared" si="4"/>
        <v>109.21158840037123</v>
      </c>
      <c r="V154" s="9">
        <v>44287</v>
      </c>
      <c r="W154" s="6">
        <v>157.80000000000001</v>
      </c>
    </row>
    <row r="155" spans="15:23" x14ac:dyDescent="0.3">
      <c r="O155" s="8">
        <f t="shared" si="5"/>
        <v>41456</v>
      </c>
      <c r="P155" s="12">
        <v>2013</v>
      </c>
      <c r="Q155" t="s">
        <v>8</v>
      </c>
      <c r="R155" s="4">
        <v>133.1</v>
      </c>
      <c r="S155" s="6">
        <v>111</v>
      </c>
      <c r="T155">
        <f t="shared" si="4"/>
        <v>110.62452371453126</v>
      </c>
      <c r="V155" s="9">
        <v>44317</v>
      </c>
      <c r="W155" s="6">
        <v>160.4</v>
      </c>
    </row>
    <row r="156" spans="15:23" x14ac:dyDescent="0.3">
      <c r="O156" s="8">
        <f t="shared" si="5"/>
        <v>41487</v>
      </c>
      <c r="P156" s="12">
        <v>2013</v>
      </c>
      <c r="Q156" t="s">
        <v>9</v>
      </c>
      <c r="R156" s="4">
        <v>134.6</v>
      </c>
      <c r="S156" s="6">
        <v>112.4</v>
      </c>
      <c r="T156">
        <f t="shared" si="4"/>
        <v>111.87123134467249</v>
      </c>
      <c r="V156" s="9">
        <v>44348</v>
      </c>
      <c r="W156" s="6">
        <v>161.30000000000001</v>
      </c>
    </row>
    <row r="157" spans="15:23" x14ac:dyDescent="0.3">
      <c r="O157" s="8">
        <f t="shared" si="5"/>
        <v>41518</v>
      </c>
      <c r="P157" s="12">
        <v>2013</v>
      </c>
      <c r="Q157" t="s">
        <v>10</v>
      </c>
      <c r="R157" s="4">
        <v>136.19999999999999</v>
      </c>
      <c r="S157" s="6">
        <v>113.7</v>
      </c>
      <c r="T157">
        <f t="shared" si="4"/>
        <v>113.20105281682312</v>
      </c>
      <c r="V157" s="9">
        <v>44378</v>
      </c>
      <c r="W157" s="6">
        <v>162.5</v>
      </c>
    </row>
    <row r="158" spans="15:23" x14ac:dyDescent="0.3">
      <c r="O158" s="8">
        <f t="shared" si="5"/>
        <v>41548</v>
      </c>
      <c r="P158" s="12">
        <v>2013</v>
      </c>
      <c r="Q158" t="s">
        <v>11</v>
      </c>
      <c r="R158" s="4">
        <v>137.5</v>
      </c>
      <c r="S158" s="6">
        <v>114.8</v>
      </c>
      <c r="T158">
        <f t="shared" si="4"/>
        <v>114.28153276294553</v>
      </c>
      <c r="V158" s="9">
        <v>44409</v>
      </c>
      <c r="W158" s="6">
        <v>162.9</v>
      </c>
    </row>
    <row r="159" spans="15:23" x14ac:dyDescent="0.3">
      <c r="O159" s="8">
        <f t="shared" si="5"/>
        <v>41579</v>
      </c>
      <c r="P159" s="12">
        <v>2013</v>
      </c>
      <c r="Q159" t="s">
        <v>12</v>
      </c>
      <c r="R159" s="4">
        <v>139.5</v>
      </c>
      <c r="S159" s="6">
        <v>116.3</v>
      </c>
      <c r="T159">
        <f t="shared" si="4"/>
        <v>115.94380960313383</v>
      </c>
      <c r="V159" s="9">
        <v>44440</v>
      </c>
      <c r="W159" s="6">
        <v>163.19999999999999</v>
      </c>
    </row>
    <row r="160" spans="15:23" x14ac:dyDescent="0.3">
      <c r="O160" s="8">
        <f t="shared" si="5"/>
        <v>41609</v>
      </c>
      <c r="P160" s="12">
        <v>2013</v>
      </c>
      <c r="Q160" t="s">
        <v>13</v>
      </c>
      <c r="R160" s="5">
        <v>138</v>
      </c>
      <c r="S160" s="6">
        <v>114.5</v>
      </c>
      <c r="T160">
        <f>R160*$U$160</f>
        <v>114.6971019729926</v>
      </c>
      <c r="U160">
        <f>GEOMEAN(S149:S160)/GEOMEAN(R149:R160)</f>
        <v>0.83113842009414929</v>
      </c>
      <c r="V160" s="9">
        <v>44470</v>
      </c>
      <c r="W160" s="6">
        <v>165.5</v>
      </c>
    </row>
    <row r="161" spans="15:23" x14ac:dyDescent="0.3">
      <c r="O161" s="9">
        <v>41640</v>
      </c>
      <c r="S161" s="6">
        <v>113.6</v>
      </c>
      <c r="V161" s="9">
        <v>44501</v>
      </c>
      <c r="W161" s="6">
        <v>166.7</v>
      </c>
    </row>
    <row r="162" spans="15:23" x14ac:dyDescent="0.3">
      <c r="O162" s="9">
        <v>41671</v>
      </c>
      <c r="S162" s="6">
        <v>113.6</v>
      </c>
      <c r="V162" s="9">
        <v>44531</v>
      </c>
      <c r="W162" s="6">
        <v>166.2</v>
      </c>
    </row>
    <row r="163" spans="15:23" x14ac:dyDescent="0.3">
      <c r="O163" s="9">
        <v>41699</v>
      </c>
      <c r="S163" s="6">
        <v>114.2</v>
      </c>
      <c r="V163" s="9">
        <v>44562</v>
      </c>
      <c r="W163" s="6">
        <v>165.7</v>
      </c>
    </row>
    <row r="164" spans="15:23" x14ac:dyDescent="0.3">
      <c r="O164" s="9">
        <v>41730</v>
      </c>
      <c r="S164" s="6">
        <v>115.1</v>
      </c>
      <c r="V164" s="9">
        <v>44593</v>
      </c>
      <c r="W164" s="6">
        <v>166.1</v>
      </c>
    </row>
    <row r="165" spans="15:23" x14ac:dyDescent="0.3">
      <c r="O165" s="9">
        <v>41760</v>
      </c>
      <c r="S165" s="6">
        <v>115.8</v>
      </c>
      <c r="V165" s="9">
        <v>44621</v>
      </c>
      <c r="W165" s="6">
        <v>167.7</v>
      </c>
    </row>
    <row r="166" spans="15:23" x14ac:dyDescent="0.3">
      <c r="O166" s="9">
        <v>41791</v>
      </c>
      <c r="S166" s="6">
        <v>116.7</v>
      </c>
      <c r="V166" s="9">
        <v>44652</v>
      </c>
      <c r="W166" s="6">
        <v>170.1</v>
      </c>
    </row>
    <row r="167" spans="15:23" x14ac:dyDescent="0.3">
      <c r="O167" s="9">
        <v>41821</v>
      </c>
      <c r="S167" s="6">
        <v>119.2</v>
      </c>
      <c r="V167" s="9">
        <v>44682</v>
      </c>
      <c r="W167" s="6">
        <v>171.7</v>
      </c>
    </row>
    <row r="168" spans="15:23" x14ac:dyDescent="0.3">
      <c r="O168" s="9">
        <v>41852</v>
      </c>
      <c r="S168" s="6">
        <v>120.3</v>
      </c>
      <c r="V168" s="9">
        <v>44713</v>
      </c>
      <c r="W168" s="6">
        <v>172.6</v>
      </c>
    </row>
    <row r="169" spans="15:23" x14ac:dyDescent="0.3">
      <c r="O169" s="9">
        <v>41883</v>
      </c>
      <c r="S169" s="6">
        <v>120.1</v>
      </c>
      <c r="V169" s="9">
        <v>44743</v>
      </c>
      <c r="W169" s="6">
        <v>173.4</v>
      </c>
    </row>
    <row r="170" spans="15:23" x14ac:dyDescent="0.3">
      <c r="O170" s="9">
        <v>41913</v>
      </c>
      <c r="S170" s="6">
        <v>120.1</v>
      </c>
      <c r="V170" s="9">
        <v>44774</v>
      </c>
      <c r="W170" s="6">
        <v>174.3</v>
      </c>
    </row>
    <row r="171" spans="15:23" x14ac:dyDescent="0.3">
      <c r="O171" s="9">
        <v>41944</v>
      </c>
      <c r="S171" s="6">
        <v>120.1</v>
      </c>
      <c r="V171" s="9">
        <v>44805</v>
      </c>
      <c r="W171" s="6">
        <v>175.3</v>
      </c>
    </row>
    <row r="172" spans="15:23" x14ac:dyDescent="0.3">
      <c r="O172" s="9">
        <v>41974</v>
      </c>
      <c r="S172" s="6">
        <v>119.4</v>
      </c>
      <c r="V172" s="9">
        <v>44835</v>
      </c>
      <c r="W172" s="6">
        <v>176.7</v>
      </c>
    </row>
    <row r="173" spans="15:23" x14ac:dyDescent="0.3">
      <c r="O173" s="9">
        <v>42005</v>
      </c>
      <c r="S173" s="6">
        <v>119.5</v>
      </c>
      <c r="V173" s="9">
        <v>44866</v>
      </c>
      <c r="W173" s="6">
        <v>176.5</v>
      </c>
    </row>
    <row r="174" spans="15:23" x14ac:dyDescent="0.3">
      <c r="O174" s="9">
        <v>42036</v>
      </c>
      <c r="S174" s="6">
        <v>119.7</v>
      </c>
      <c r="V174" s="9">
        <v>44896</v>
      </c>
      <c r="W174" s="6">
        <v>175.7</v>
      </c>
    </row>
    <row r="175" spans="15:23" x14ac:dyDescent="0.3">
      <c r="O175" s="9">
        <v>42064</v>
      </c>
      <c r="S175" s="6">
        <v>120.2</v>
      </c>
      <c r="V175" s="9">
        <v>44927</v>
      </c>
      <c r="W175" s="6">
        <v>176.5</v>
      </c>
    </row>
    <row r="176" spans="15:23" x14ac:dyDescent="0.3">
      <c r="O176" s="9">
        <v>42095</v>
      </c>
      <c r="S176" s="6">
        <v>120.7</v>
      </c>
      <c r="V176" s="9">
        <v>44958</v>
      </c>
      <c r="W176" s="6">
        <v>176.8</v>
      </c>
    </row>
    <row r="177" spans="15:23" x14ac:dyDescent="0.3">
      <c r="O177" s="9">
        <v>42125</v>
      </c>
      <c r="S177" s="6">
        <v>121.6</v>
      </c>
      <c r="V177" s="9">
        <v>44986</v>
      </c>
      <c r="W177" s="6">
        <v>177.2</v>
      </c>
    </row>
    <row r="178" spans="15:23" x14ac:dyDescent="0.3">
      <c r="O178" s="9">
        <v>42156</v>
      </c>
      <c r="S178" s="6">
        <v>123</v>
      </c>
      <c r="V178" s="9">
        <v>45017</v>
      </c>
      <c r="W178" s="6">
        <v>178.1</v>
      </c>
    </row>
    <row r="179" spans="15:23" x14ac:dyDescent="0.3">
      <c r="O179" s="9">
        <v>42186</v>
      </c>
      <c r="S179" s="6">
        <v>123.6</v>
      </c>
      <c r="V179" s="9">
        <v>45047</v>
      </c>
      <c r="W179" s="6">
        <v>179.1</v>
      </c>
    </row>
    <row r="180" spans="15:23" x14ac:dyDescent="0.3">
      <c r="O180" s="9">
        <v>42217</v>
      </c>
      <c r="S180" s="6">
        <v>124.8</v>
      </c>
      <c r="V180" s="9">
        <v>45078</v>
      </c>
      <c r="W180" s="6">
        <v>181</v>
      </c>
    </row>
    <row r="181" spans="15:23" x14ac:dyDescent="0.3">
      <c r="O181" s="9">
        <v>42248</v>
      </c>
      <c r="S181" s="6">
        <v>125.4</v>
      </c>
      <c r="V181" s="9">
        <v>45108</v>
      </c>
      <c r="W181" s="6">
        <v>186.3</v>
      </c>
    </row>
    <row r="182" spans="15:23" x14ac:dyDescent="0.3">
      <c r="O182" s="9">
        <v>42278</v>
      </c>
      <c r="S182" s="6">
        <v>126.1</v>
      </c>
      <c r="V182" s="9">
        <v>45139</v>
      </c>
      <c r="W182" s="6">
        <v>186.2</v>
      </c>
    </row>
    <row r="183" spans="15:23" x14ac:dyDescent="0.3">
      <c r="O183" s="9">
        <v>42309</v>
      </c>
      <c r="S183" s="6">
        <v>126.6</v>
      </c>
      <c r="V183" s="9">
        <v>45170</v>
      </c>
      <c r="W183" s="6">
        <v>184.1</v>
      </c>
    </row>
    <row r="184" spans="15:23" x14ac:dyDescent="0.3">
      <c r="O184" s="9">
        <v>42339</v>
      </c>
      <c r="S184" s="6">
        <v>126.1</v>
      </c>
      <c r="V184" s="9">
        <v>45200</v>
      </c>
      <c r="W184" s="6">
        <v>185.3</v>
      </c>
    </row>
    <row r="185" spans="15:23" x14ac:dyDescent="0.3">
      <c r="O185" s="9">
        <v>42370</v>
      </c>
      <c r="S185" s="6">
        <v>126.3</v>
      </c>
      <c r="V185" s="9">
        <v>45231</v>
      </c>
      <c r="W185" s="6">
        <v>186.3</v>
      </c>
    </row>
    <row r="186" spans="15:23" x14ac:dyDescent="0.3">
      <c r="O186" s="9">
        <v>42401</v>
      </c>
      <c r="S186" s="6">
        <v>126</v>
      </c>
      <c r="V186" s="9">
        <v>45261</v>
      </c>
      <c r="W186" s="6">
        <v>185.7</v>
      </c>
    </row>
    <row r="187" spans="15:23" x14ac:dyDescent="0.3">
      <c r="O187" s="9">
        <v>42430</v>
      </c>
      <c r="S187" s="6">
        <v>126</v>
      </c>
      <c r="V187" s="9">
        <v>45292</v>
      </c>
      <c r="W187" s="6">
        <v>185.5</v>
      </c>
    </row>
    <row r="188" spans="15:23" x14ac:dyDescent="0.3">
      <c r="O188" s="9">
        <v>42461</v>
      </c>
      <c r="S188" s="6">
        <v>127.3</v>
      </c>
      <c r="V188" s="9">
        <v>45323</v>
      </c>
      <c r="W188" s="6">
        <v>185.8</v>
      </c>
    </row>
    <row r="189" spans="15:23" x14ac:dyDescent="0.3">
      <c r="O189" s="9">
        <v>42491</v>
      </c>
      <c r="S189" s="6">
        <v>128.6</v>
      </c>
      <c r="V189" s="9">
        <v>45352</v>
      </c>
      <c r="W189" s="6">
        <v>185.8</v>
      </c>
    </row>
    <row r="190" spans="15:23" x14ac:dyDescent="0.3">
      <c r="O190" s="9">
        <v>42522</v>
      </c>
      <c r="S190" s="6">
        <v>130.1</v>
      </c>
      <c r="V190" s="9">
        <v>45383</v>
      </c>
      <c r="W190" s="6">
        <v>186.7</v>
      </c>
    </row>
    <row r="191" spans="15:23" x14ac:dyDescent="0.3">
      <c r="O191" s="9">
        <v>42552</v>
      </c>
      <c r="S191" s="6">
        <v>131.1</v>
      </c>
      <c r="V191" s="9">
        <v>45413</v>
      </c>
      <c r="W191" s="6">
        <v>187.7</v>
      </c>
    </row>
    <row r="192" spans="15:23" x14ac:dyDescent="0.3">
      <c r="O192" s="9">
        <v>42583</v>
      </c>
      <c r="S192" s="6">
        <v>131.1</v>
      </c>
      <c r="V192" s="9">
        <v>45444</v>
      </c>
      <c r="W192" s="6">
        <v>190.2</v>
      </c>
    </row>
    <row r="193" spans="15:23" x14ac:dyDescent="0.3">
      <c r="O193" s="9">
        <v>42614</v>
      </c>
      <c r="S193" s="6">
        <v>130.9</v>
      </c>
      <c r="V193" s="9">
        <v>45474</v>
      </c>
      <c r="W193" s="6">
        <v>193</v>
      </c>
    </row>
    <row r="194" spans="15:23" x14ac:dyDescent="0.3">
      <c r="O194" s="9">
        <v>42644</v>
      </c>
      <c r="S194" s="6">
        <v>131.4</v>
      </c>
      <c r="V194" s="9">
        <v>45505</v>
      </c>
      <c r="W194" s="6">
        <v>193</v>
      </c>
    </row>
    <row r="195" spans="15:23" x14ac:dyDescent="0.3">
      <c r="O195" s="9">
        <v>42675</v>
      </c>
      <c r="S195" s="6">
        <v>131.19999999999999</v>
      </c>
      <c r="V195" s="9">
        <v>45536</v>
      </c>
      <c r="W195" s="6">
        <v>194.2</v>
      </c>
    </row>
    <row r="196" spans="15:23" x14ac:dyDescent="0.3">
      <c r="O196" s="9">
        <v>42705</v>
      </c>
      <c r="S196" s="6">
        <v>130.4</v>
      </c>
      <c r="V196" s="9">
        <v>45566</v>
      </c>
      <c r="W196" s="6">
        <v>196.8</v>
      </c>
    </row>
    <row r="197" spans="15:23" x14ac:dyDescent="0.3">
      <c r="O197" s="9">
        <v>42736</v>
      </c>
      <c r="S197" s="6">
        <v>130.30000000000001</v>
      </c>
      <c r="V197" s="9">
        <v>45597</v>
      </c>
      <c r="W197" s="6">
        <v>196.5</v>
      </c>
    </row>
    <row r="198" spans="15:23" x14ac:dyDescent="0.3">
      <c r="O198" s="9">
        <v>42767</v>
      </c>
      <c r="S198" s="6">
        <v>130.6</v>
      </c>
      <c r="V198" s="9">
        <v>45627</v>
      </c>
      <c r="W198" s="6">
        <v>195.4</v>
      </c>
    </row>
    <row r="199" spans="15:23" x14ac:dyDescent="0.3">
      <c r="O199" s="9">
        <v>42795</v>
      </c>
      <c r="S199" s="6">
        <v>130.9</v>
      </c>
      <c r="V199" s="9">
        <v>45658</v>
      </c>
      <c r="W199" s="6">
        <v>193.4</v>
      </c>
    </row>
    <row r="200" spans="15:23" x14ac:dyDescent="0.3">
      <c r="O200" s="9">
        <v>42826</v>
      </c>
      <c r="S200" s="6">
        <v>131.1</v>
      </c>
      <c r="V200" s="9">
        <v>45689</v>
      </c>
      <c r="W200" s="6">
        <v>192.5</v>
      </c>
    </row>
    <row r="201" spans="15:23" x14ac:dyDescent="0.3">
      <c r="O201" s="9">
        <v>42856</v>
      </c>
      <c r="S201" s="6">
        <v>131.4</v>
      </c>
      <c r="V201" s="9">
        <v>45717</v>
      </c>
      <c r="W201" s="6">
        <v>192</v>
      </c>
    </row>
    <row r="202" spans="15:23" x14ac:dyDescent="0.3">
      <c r="O202" s="9">
        <v>42887</v>
      </c>
      <c r="S202" s="6">
        <v>132</v>
      </c>
      <c r="V202" s="9">
        <v>45748</v>
      </c>
      <c r="W202" s="6">
        <v>192.6</v>
      </c>
    </row>
    <row r="203" spans="15:23" x14ac:dyDescent="0.3">
      <c r="O203" s="9">
        <v>42917</v>
      </c>
      <c r="S203" s="6">
        <v>134.19999999999999</v>
      </c>
      <c r="V203" s="9">
        <v>45778</v>
      </c>
      <c r="W203" s="6">
        <v>193</v>
      </c>
    </row>
    <row r="204" spans="15:23" x14ac:dyDescent="0.3">
      <c r="O204" s="9">
        <v>42948</v>
      </c>
      <c r="S204" s="6">
        <v>135.4</v>
      </c>
      <c r="V204" s="9">
        <v>45809</v>
      </c>
      <c r="W204" s="6">
        <v>194.2</v>
      </c>
    </row>
    <row r="205" spans="15:23" x14ac:dyDescent="0.3">
      <c r="O205" s="9">
        <v>42979</v>
      </c>
      <c r="S205" s="6">
        <v>135.19999999999999</v>
      </c>
      <c r="V205" s="9">
        <v>45839</v>
      </c>
      <c r="W205" s="6">
        <v>196.1</v>
      </c>
    </row>
    <row r="206" spans="15:23" x14ac:dyDescent="0.3">
      <c r="O206" s="9">
        <v>43009</v>
      </c>
      <c r="S206" s="6">
        <v>136.1</v>
      </c>
      <c r="V206" s="9">
        <v>45870</v>
      </c>
      <c r="W206" s="6">
        <v>197</v>
      </c>
    </row>
    <row r="207" spans="15:23" x14ac:dyDescent="0.3">
      <c r="O207" s="9">
        <v>43040</v>
      </c>
      <c r="S207" s="6">
        <v>137.6</v>
      </c>
    </row>
    <row r="208" spans="15:23" x14ac:dyDescent="0.3">
      <c r="O208" s="9">
        <v>43070</v>
      </c>
      <c r="S208" s="6">
        <v>137.19999999999999</v>
      </c>
    </row>
    <row r="209" spans="15:19" x14ac:dyDescent="0.3">
      <c r="O209" s="9">
        <v>43101</v>
      </c>
      <c r="S209" s="6">
        <v>136.9</v>
      </c>
    </row>
    <row r="210" spans="15:19" x14ac:dyDescent="0.3">
      <c r="O210" s="9">
        <v>43132</v>
      </c>
      <c r="S210" s="6">
        <v>136.4</v>
      </c>
    </row>
    <row r="211" spans="15:19" x14ac:dyDescent="0.3">
      <c r="O211" s="9">
        <v>43160</v>
      </c>
      <c r="S211" s="6">
        <v>136.5</v>
      </c>
    </row>
    <row r="212" spans="15:19" x14ac:dyDescent="0.3">
      <c r="O212" s="9">
        <v>43191</v>
      </c>
      <c r="S212" s="6">
        <v>137.1</v>
      </c>
    </row>
    <row r="213" spans="15:19" x14ac:dyDescent="0.3">
      <c r="O213" s="9">
        <v>43221</v>
      </c>
      <c r="S213" s="6">
        <v>137.80000000000001</v>
      </c>
    </row>
    <row r="214" spans="15:19" x14ac:dyDescent="0.3">
      <c r="O214" s="9">
        <v>43252</v>
      </c>
      <c r="S214" s="6">
        <v>138.5</v>
      </c>
    </row>
    <row r="215" spans="15:19" x14ac:dyDescent="0.3">
      <c r="O215" s="9">
        <v>43282</v>
      </c>
      <c r="S215" s="6">
        <v>139.80000000000001</v>
      </c>
    </row>
    <row r="216" spans="15:19" x14ac:dyDescent="0.3">
      <c r="O216" s="9">
        <v>43313</v>
      </c>
      <c r="S216" s="6">
        <v>140.4</v>
      </c>
    </row>
    <row r="217" spans="15:19" x14ac:dyDescent="0.3">
      <c r="O217" s="9">
        <v>43344</v>
      </c>
      <c r="S217" s="6">
        <v>140.19999999999999</v>
      </c>
    </row>
    <row r="218" spans="15:19" x14ac:dyDescent="0.3">
      <c r="O218" s="9">
        <v>43374</v>
      </c>
      <c r="S218" s="6">
        <v>140.69999999999999</v>
      </c>
    </row>
    <row r="219" spans="15:19" x14ac:dyDescent="0.3">
      <c r="O219" s="9">
        <v>43405</v>
      </c>
      <c r="S219" s="6">
        <v>140.80000000000001</v>
      </c>
    </row>
    <row r="220" spans="15:19" x14ac:dyDescent="0.3">
      <c r="O220" s="9">
        <v>43435</v>
      </c>
      <c r="S220" s="6">
        <v>140.1</v>
      </c>
    </row>
    <row r="221" spans="15:19" x14ac:dyDescent="0.3">
      <c r="O221" s="9">
        <v>43466</v>
      </c>
      <c r="S221" s="6">
        <v>139.6</v>
      </c>
    </row>
    <row r="222" spans="15:19" x14ac:dyDescent="0.3">
      <c r="O222" s="9">
        <v>43497</v>
      </c>
      <c r="S222" s="6">
        <v>139.9</v>
      </c>
    </row>
    <row r="223" spans="15:19" x14ac:dyDescent="0.3">
      <c r="O223" s="9">
        <v>43525</v>
      </c>
      <c r="S223" s="6">
        <v>140.4</v>
      </c>
    </row>
    <row r="224" spans="15:19" x14ac:dyDescent="0.3">
      <c r="O224" s="9">
        <v>43556</v>
      </c>
      <c r="S224" s="6">
        <v>141.19999999999999</v>
      </c>
    </row>
    <row r="225" spans="15:19" x14ac:dyDescent="0.3">
      <c r="O225" s="9">
        <v>43586</v>
      </c>
      <c r="S225" s="6">
        <v>142</v>
      </c>
    </row>
    <row r="226" spans="15:19" x14ac:dyDescent="0.3">
      <c r="O226" s="9">
        <v>43617</v>
      </c>
      <c r="S226" s="6">
        <v>142.9</v>
      </c>
    </row>
    <row r="227" spans="15:19" x14ac:dyDescent="0.3">
      <c r="O227" s="9">
        <v>43647</v>
      </c>
      <c r="S227" s="6">
        <v>144.19999999999999</v>
      </c>
    </row>
    <row r="228" spans="15:19" x14ac:dyDescent="0.3">
      <c r="O228" s="9">
        <v>43678</v>
      </c>
      <c r="S228" s="6">
        <v>145</v>
      </c>
    </row>
    <row r="229" spans="15:19" x14ac:dyDescent="0.3">
      <c r="O229" s="9">
        <v>43709</v>
      </c>
      <c r="S229" s="6">
        <v>145.80000000000001</v>
      </c>
    </row>
    <row r="230" spans="15:19" x14ac:dyDescent="0.3">
      <c r="O230" s="9">
        <v>43739</v>
      </c>
      <c r="S230" s="6">
        <v>147.19999999999999</v>
      </c>
    </row>
    <row r="231" spans="15:19" x14ac:dyDescent="0.3">
      <c r="O231" s="9">
        <v>43770</v>
      </c>
      <c r="S231" s="6">
        <v>148.6</v>
      </c>
    </row>
    <row r="232" spans="15:19" x14ac:dyDescent="0.3">
      <c r="O232" s="9">
        <v>43800</v>
      </c>
      <c r="S232" s="6">
        <v>150.4</v>
      </c>
    </row>
    <row r="233" spans="15:19" x14ac:dyDescent="0.3">
      <c r="O233" s="9">
        <v>43831</v>
      </c>
      <c r="S233" s="6">
        <v>150.19999999999999</v>
      </c>
    </row>
    <row r="234" spans="15:19" x14ac:dyDescent="0.3">
      <c r="O234" s="9">
        <v>43862</v>
      </c>
      <c r="S234" s="6">
        <v>149.1</v>
      </c>
    </row>
    <row r="235" spans="15:19" x14ac:dyDescent="0.3">
      <c r="O235" s="9">
        <v>43891</v>
      </c>
      <c r="S235" s="6">
        <v>148.6</v>
      </c>
    </row>
    <row r="236" spans="15:19" x14ac:dyDescent="0.3">
      <c r="O236" s="9">
        <v>43922</v>
      </c>
      <c r="S236" s="6">
        <v>151.4</v>
      </c>
    </row>
    <row r="237" spans="15:19" x14ac:dyDescent="0.3">
      <c r="O237" s="9">
        <v>43952</v>
      </c>
      <c r="S237" s="6">
        <v>150.9</v>
      </c>
    </row>
    <row r="238" spans="15:19" x14ac:dyDescent="0.3">
      <c r="O238" s="9">
        <v>43983</v>
      </c>
      <c r="S238" s="6">
        <v>151.80000000000001</v>
      </c>
    </row>
    <row r="239" spans="15:19" x14ac:dyDescent="0.3">
      <c r="O239" s="9">
        <v>44013</v>
      </c>
      <c r="S239" s="6">
        <v>153.9</v>
      </c>
    </row>
    <row r="240" spans="15:19" x14ac:dyDescent="0.3">
      <c r="O240" s="9">
        <v>44044</v>
      </c>
      <c r="S240" s="6">
        <v>154.69999999999999</v>
      </c>
    </row>
    <row r="241" spans="15:19" x14ac:dyDescent="0.3">
      <c r="O241" s="9">
        <v>44075</v>
      </c>
      <c r="S241" s="6">
        <v>156.4</v>
      </c>
    </row>
    <row r="242" spans="15:19" x14ac:dyDescent="0.3">
      <c r="O242" s="9">
        <v>44105</v>
      </c>
      <c r="S242" s="6">
        <v>158.4</v>
      </c>
    </row>
    <row r="243" spans="15:19" x14ac:dyDescent="0.3">
      <c r="O243" s="9">
        <v>44136</v>
      </c>
      <c r="S243" s="6">
        <v>158.9</v>
      </c>
    </row>
    <row r="244" spans="15:19" x14ac:dyDescent="0.3">
      <c r="O244" s="9">
        <v>44166</v>
      </c>
      <c r="S244" s="6">
        <v>157.30000000000001</v>
      </c>
    </row>
    <row r="245" spans="15:19" x14ac:dyDescent="0.3">
      <c r="O245" s="9">
        <v>44197</v>
      </c>
      <c r="S245" s="6">
        <v>156.30000000000001</v>
      </c>
    </row>
    <row r="246" spans="15:19" x14ac:dyDescent="0.3">
      <c r="O246" s="9">
        <v>44228</v>
      </c>
      <c r="S246" s="6">
        <v>156.6</v>
      </c>
    </row>
    <row r="247" spans="15:19" x14ac:dyDescent="0.3">
      <c r="O247" s="9">
        <v>44256</v>
      </c>
      <c r="S247" s="6">
        <v>156.80000000000001</v>
      </c>
    </row>
    <row r="248" spans="15:19" x14ac:dyDescent="0.3">
      <c r="O248" s="9">
        <v>44287</v>
      </c>
      <c r="S248" s="6">
        <v>157.80000000000001</v>
      </c>
    </row>
    <row r="249" spans="15:19" x14ac:dyDescent="0.3">
      <c r="O249" s="9">
        <v>44317</v>
      </c>
      <c r="S249" s="6">
        <v>160.4</v>
      </c>
    </row>
    <row r="250" spans="15:19" x14ac:dyDescent="0.3">
      <c r="O250" s="9">
        <v>44348</v>
      </c>
      <c r="S250" s="6">
        <v>161.30000000000001</v>
      </c>
    </row>
    <row r="251" spans="15:19" x14ac:dyDescent="0.3">
      <c r="O251" s="9">
        <v>44378</v>
      </c>
      <c r="S251" s="6">
        <v>162.5</v>
      </c>
    </row>
    <row r="252" spans="15:19" x14ac:dyDescent="0.3">
      <c r="O252" s="9">
        <v>44409</v>
      </c>
      <c r="S252" s="6">
        <v>162.9</v>
      </c>
    </row>
    <row r="253" spans="15:19" x14ac:dyDescent="0.3">
      <c r="O253" s="9">
        <v>44440</v>
      </c>
      <c r="S253" s="6">
        <v>163.19999999999999</v>
      </c>
    </row>
    <row r="254" spans="15:19" x14ac:dyDescent="0.3">
      <c r="O254" s="9">
        <v>44470</v>
      </c>
      <c r="S254" s="6">
        <v>165.5</v>
      </c>
    </row>
    <row r="255" spans="15:19" x14ac:dyDescent="0.3">
      <c r="O255" s="9">
        <v>44501</v>
      </c>
      <c r="S255" s="6">
        <v>166.7</v>
      </c>
    </row>
    <row r="256" spans="15:19" x14ac:dyDescent="0.3">
      <c r="O256" s="9">
        <v>44531</v>
      </c>
      <c r="S256" s="6">
        <v>166.2</v>
      </c>
    </row>
    <row r="257" spans="15:19" x14ac:dyDescent="0.3">
      <c r="O257" s="9">
        <v>44562</v>
      </c>
      <c r="S257" s="6">
        <v>165.7</v>
      </c>
    </row>
    <row r="258" spans="15:19" x14ac:dyDescent="0.3">
      <c r="O258" s="9">
        <v>44593</v>
      </c>
      <c r="S258" s="6">
        <v>166.1</v>
      </c>
    </row>
    <row r="259" spans="15:19" x14ac:dyDescent="0.3">
      <c r="O259" s="9">
        <v>44621</v>
      </c>
      <c r="S259" s="6">
        <v>167.7</v>
      </c>
    </row>
    <row r="260" spans="15:19" x14ac:dyDescent="0.3">
      <c r="O260" s="9">
        <v>44652</v>
      </c>
      <c r="S260" s="6">
        <v>170.1</v>
      </c>
    </row>
    <row r="261" spans="15:19" x14ac:dyDescent="0.3">
      <c r="O261" s="9">
        <v>44682</v>
      </c>
      <c r="S261" s="6">
        <v>171.7</v>
      </c>
    </row>
    <row r="262" spans="15:19" x14ac:dyDescent="0.3">
      <c r="O262" s="9">
        <v>44713</v>
      </c>
      <c r="S262" s="6">
        <v>172.6</v>
      </c>
    </row>
    <row r="263" spans="15:19" x14ac:dyDescent="0.3">
      <c r="O263" s="9">
        <v>44743</v>
      </c>
      <c r="S263" s="6">
        <v>173.4</v>
      </c>
    </row>
    <row r="264" spans="15:19" x14ac:dyDescent="0.3">
      <c r="O264" s="9">
        <v>44774</v>
      </c>
      <c r="S264" s="6">
        <v>174.3</v>
      </c>
    </row>
    <row r="265" spans="15:19" x14ac:dyDescent="0.3">
      <c r="O265" s="9">
        <v>44805</v>
      </c>
      <c r="S265" s="6">
        <v>175.3</v>
      </c>
    </row>
    <row r="266" spans="15:19" x14ac:dyDescent="0.3">
      <c r="O266" s="9">
        <v>44835</v>
      </c>
      <c r="S266" s="6">
        <v>176.7</v>
      </c>
    </row>
    <row r="267" spans="15:19" x14ac:dyDescent="0.3">
      <c r="O267" s="9">
        <v>44866</v>
      </c>
      <c r="S267" s="6">
        <v>176.5</v>
      </c>
    </row>
    <row r="268" spans="15:19" x14ac:dyDescent="0.3">
      <c r="O268" s="9">
        <v>44896</v>
      </c>
      <c r="S268" s="6">
        <v>175.7</v>
      </c>
    </row>
    <row r="269" spans="15:19" x14ac:dyDescent="0.3">
      <c r="O269" s="9">
        <v>44927</v>
      </c>
      <c r="S269" s="6">
        <v>176.5</v>
      </c>
    </row>
    <row r="270" spans="15:19" x14ac:dyDescent="0.3">
      <c r="O270" s="9">
        <v>44958</v>
      </c>
      <c r="S270" s="6">
        <v>176.8</v>
      </c>
    </row>
    <row r="271" spans="15:19" x14ac:dyDescent="0.3">
      <c r="O271" s="9">
        <v>44986</v>
      </c>
      <c r="S271" s="6">
        <v>177.2</v>
      </c>
    </row>
    <row r="272" spans="15:19" x14ac:dyDescent="0.3">
      <c r="O272" s="9">
        <v>45017</v>
      </c>
      <c r="S272" s="6">
        <v>178.1</v>
      </c>
    </row>
    <row r="273" spans="15:19" x14ac:dyDescent="0.3">
      <c r="O273" s="9">
        <v>45047</v>
      </c>
      <c r="S273" s="6">
        <v>179.1</v>
      </c>
    </row>
    <row r="274" spans="15:19" x14ac:dyDescent="0.3">
      <c r="O274" s="9">
        <v>45078</v>
      </c>
      <c r="S274" s="6">
        <v>181</v>
      </c>
    </row>
    <row r="275" spans="15:19" x14ac:dyDescent="0.3">
      <c r="O275" s="9">
        <v>45108</v>
      </c>
      <c r="S275" s="6">
        <v>186.3</v>
      </c>
    </row>
    <row r="276" spans="15:19" x14ac:dyDescent="0.3">
      <c r="O276" s="9">
        <v>45139</v>
      </c>
      <c r="S276" s="6">
        <v>186.2</v>
      </c>
    </row>
    <row r="277" spans="15:19" x14ac:dyDescent="0.3">
      <c r="O277" s="9">
        <v>45170</v>
      </c>
      <c r="S277" s="6">
        <v>184.1</v>
      </c>
    </row>
    <row r="278" spans="15:19" x14ac:dyDescent="0.3">
      <c r="O278" s="9">
        <v>45200</v>
      </c>
      <c r="S278" s="6">
        <v>185.3</v>
      </c>
    </row>
    <row r="279" spans="15:19" x14ac:dyDescent="0.3">
      <c r="O279" s="9">
        <v>45231</v>
      </c>
      <c r="S279" s="6">
        <v>186.3</v>
      </c>
    </row>
    <row r="280" spans="15:19" x14ac:dyDescent="0.3">
      <c r="O280" s="9">
        <v>45261</v>
      </c>
      <c r="S280" s="6">
        <v>185.7</v>
      </c>
    </row>
    <row r="281" spans="15:19" x14ac:dyDescent="0.3">
      <c r="O281" s="9">
        <v>45292</v>
      </c>
      <c r="S281" s="6">
        <v>185.5</v>
      </c>
    </row>
    <row r="282" spans="15:19" x14ac:dyDescent="0.3">
      <c r="O282" s="9">
        <v>45323</v>
      </c>
      <c r="S282" s="6">
        <v>185.8</v>
      </c>
    </row>
    <row r="283" spans="15:19" x14ac:dyDescent="0.3">
      <c r="O283" s="9">
        <v>45352</v>
      </c>
      <c r="S283" s="6">
        <v>185.8</v>
      </c>
    </row>
    <row r="284" spans="15:19" x14ac:dyDescent="0.3">
      <c r="O284" s="9">
        <v>45383</v>
      </c>
      <c r="S284" s="6">
        <v>186.7</v>
      </c>
    </row>
    <row r="285" spans="15:19" x14ac:dyDescent="0.3">
      <c r="O285" s="9">
        <v>45413</v>
      </c>
      <c r="S285" s="6">
        <v>187.7</v>
      </c>
    </row>
    <row r="286" spans="15:19" x14ac:dyDescent="0.3">
      <c r="O286" s="9">
        <v>45444</v>
      </c>
      <c r="S286" s="6">
        <v>190.2</v>
      </c>
    </row>
    <row r="287" spans="15:19" x14ac:dyDescent="0.3">
      <c r="O287" s="9">
        <v>45474</v>
      </c>
      <c r="S287" s="6">
        <v>193</v>
      </c>
    </row>
    <row r="288" spans="15:19" x14ac:dyDescent="0.3">
      <c r="O288" s="9">
        <v>45505</v>
      </c>
      <c r="S288" s="6">
        <v>193</v>
      </c>
    </row>
    <row r="289" spans="15:19" x14ac:dyDescent="0.3">
      <c r="O289" s="9">
        <v>45536</v>
      </c>
      <c r="S289" s="6">
        <v>194.2</v>
      </c>
    </row>
    <row r="290" spans="15:19" x14ac:dyDescent="0.3">
      <c r="O290" s="9">
        <v>45566</v>
      </c>
      <c r="S290" s="6">
        <v>196.8</v>
      </c>
    </row>
    <row r="291" spans="15:19" x14ac:dyDescent="0.3">
      <c r="O291" s="9">
        <v>45597</v>
      </c>
      <c r="S291" s="6">
        <v>196.5</v>
      </c>
    </row>
    <row r="292" spans="15:19" x14ac:dyDescent="0.3">
      <c r="O292" s="9">
        <v>45627</v>
      </c>
      <c r="S292" s="6">
        <v>195.4</v>
      </c>
    </row>
    <row r="293" spans="15:19" x14ac:dyDescent="0.3">
      <c r="O293" s="9">
        <v>45658</v>
      </c>
      <c r="S293" s="6">
        <v>193.4</v>
      </c>
    </row>
    <row r="294" spans="15:19" x14ac:dyDescent="0.3">
      <c r="O294" s="9">
        <v>45689</v>
      </c>
      <c r="S294" s="6">
        <v>192.5</v>
      </c>
    </row>
    <row r="295" spans="15:19" x14ac:dyDescent="0.3">
      <c r="O295" s="9">
        <v>45717</v>
      </c>
      <c r="S295" s="6">
        <v>192</v>
      </c>
    </row>
    <row r="296" spans="15:19" x14ac:dyDescent="0.3">
      <c r="O296" s="9">
        <v>45748</v>
      </c>
      <c r="S296" s="6">
        <v>192.6</v>
      </c>
    </row>
    <row r="297" spans="15:19" x14ac:dyDescent="0.3">
      <c r="O297" s="9">
        <v>45778</v>
      </c>
      <c r="S297" s="6">
        <v>193</v>
      </c>
    </row>
    <row r="298" spans="15:19" x14ac:dyDescent="0.3">
      <c r="O298" s="9">
        <v>45809</v>
      </c>
      <c r="S298" s="6">
        <v>194.2</v>
      </c>
    </row>
    <row r="299" spans="15:19" x14ac:dyDescent="0.3">
      <c r="O299" s="9">
        <v>45839</v>
      </c>
      <c r="S299" s="6">
        <v>196.1</v>
      </c>
    </row>
    <row r="300" spans="15:19" x14ac:dyDescent="0.3">
      <c r="O300" s="9">
        <v>45870</v>
      </c>
      <c r="S300" s="6">
        <v>197</v>
      </c>
    </row>
  </sheetData>
  <hyperlinks>
    <hyperlink ref="W2" r:id="rId1" display="https://insights.ceicdata.com/series/365307397_SR87548067" xr:uid="{D48CEBED-0FDE-4F2F-AB0F-E57431F51B5D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B0E6A-2537-4B6B-A21A-2D721268D981}">
  <dimension ref="A1:C297"/>
  <sheetViews>
    <sheetView tabSelected="1" workbookViewId="0">
      <selection activeCell="C1" sqref="C1"/>
    </sheetView>
  </sheetViews>
  <sheetFormatPr defaultRowHeight="14.4" x14ac:dyDescent="0.3"/>
  <cols>
    <col min="1" max="1" width="10.33203125" bestFit="1" customWidth="1"/>
  </cols>
  <sheetData>
    <row r="1" spans="1:3" x14ac:dyDescent="0.3">
      <c r="A1" t="s">
        <v>53</v>
      </c>
      <c r="B1" t="s">
        <v>54</v>
      </c>
    </row>
    <row r="2" spans="1:3" x14ac:dyDescent="0.3">
      <c r="A2" s="8">
        <v>36892</v>
      </c>
      <c r="B2" s="11">
        <v>46.128182315225288</v>
      </c>
    </row>
    <row r="3" spans="1:3" x14ac:dyDescent="0.3">
      <c r="A3" s="8">
        <v>36923</v>
      </c>
      <c r="B3" s="11">
        <v>46.045068473215871</v>
      </c>
    </row>
    <row r="4" spans="1:3" x14ac:dyDescent="0.3">
      <c r="A4" s="8">
        <v>36951</v>
      </c>
      <c r="B4" s="11">
        <v>46.294409999244117</v>
      </c>
    </row>
    <row r="5" spans="1:3" x14ac:dyDescent="0.3">
      <c r="A5" s="8">
        <v>36982</v>
      </c>
      <c r="B5" s="11">
        <v>46.626865367281773</v>
      </c>
    </row>
    <row r="6" spans="1:3" x14ac:dyDescent="0.3">
      <c r="A6" s="8">
        <v>37012</v>
      </c>
      <c r="B6" s="11">
        <v>46.959320735319437</v>
      </c>
    </row>
    <row r="7" spans="1:3" x14ac:dyDescent="0.3">
      <c r="A7" s="8">
        <v>37043</v>
      </c>
      <c r="B7" s="11">
        <v>47.458003787375922</v>
      </c>
    </row>
    <row r="8" spans="1:3" x14ac:dyDescent="0.3">
      <c r="A8" s="8">
        <v>37073</v>
      </c>
      <c r="B8" s="11">
        <v>48.039800681441825</v>
      </c>
    </row>
    <row r="9" spans="1:3" x14ac:dyDescent="0.3">
      <c r="A9" s="8">
        <v>37104</v>
      </c>
      <c r="B9" s="11">
        <v>48.372256049479489</v>
      </c>
    </row>
    <row r="10" spans="1:3" x14ac:dyDescent="0.3">
      <c r="A10" s="8">
        <v>37135</v>
      </c>
      <c r="B10" s="11">
        <v>48.206028365460661</v>
      </c>
    </row>
    <row r="11" spans="1:3" x14ac:dyDescent="0.3">
      <c r="A11" s="8">
        <v>37165</v>
      </c>
      <c r="B11" s="11">
        <v>48.704711417517153</v>
      </c>
    </row>
    <row r="12" spans="1:3" x14ac:dyDescent="0.3">
      <c r="A12" s="8">
        <v>37196</v>
      </c>
      <c r="B12" s="11">
        <v>49.03716678555481</v>
      </c>
    </row>
    <row r="13" spans="1:3" x14ac:dyDescent="0.3">
      <c r="A13" s="8">
        <v>37226</v>
      </c>
      <c r="B13" s="11">
        <v>48.870939101535974</v>
      </c>
    </row>
    <row r="14" spans="1:3" x14ac:dyDescent="0.3">
      <c r="A14" s="8">
        <v>37257</v>
      </c>
      <c r="B14" s="11">
        <v>48.704711417517153</v>
      </c>
      <c r="C14" s="10">
        <f>100*(B14/B2 - 1)</f>
        <v>5.5855855855855951</v>
      </c>
    </row>
    <row r="15" spans="1:3" x14ac:dyDescent="0.3">
      <c r="A15" s="8">
        <v>37288</v>
      </c>
      <c r="B15" s="11">
        <v>48.621597575507735</v>
      </c>
      <c r="C15" s="10">
        <f t="shared" ref="C15:C78" si="0">100*(B15/B3 - 1)</f>
        <v>5.595667870036114</v>
      </c>
    </row>
    <row r="16" spans="1:3" x14ac:dyDescent="0.3">
      <c r="A16" s="8">
        <v>37316</v>
      </c>
      <c r="B16" s="11">
        <v>48.954052943545392</v>
      </c>
      <c r="C16" s="10">
        <f t="shared" si="0"/>
        <v>5.7450628366247702</v>
      </c>
    </row>
    <row r="17" spans="1:3" x14ac:dyDescent="0.3">
      <c r="A17" s="8">
        <v>37347</v>
      </c>
      <c r="B17" s="11">
        <v>49.203394469573638</v>
      </c>
      <c r="C17" s="10">
        <f t="shared" si="0"/>
        <v>5.5258467023173052</v>
      </c>
    </row>
    <row r="18" spans="1:3" x14ac:dyDescent="0.3">
      <c r="A18" s="8">
        <v>37377</v>
      </c>
      <c r="B18" s="11">
        <v>49.535849837611302</v>
      </c>
      <c r="C18" s="10">
        <f t="shared" si="0"/>
        <v>5.4867256637168182</v>
      </c>
    </row>
    <row r="19" spans="1:3" x14ac:dyDescent="0.3">
      <c r="A19" s="8">
        <v>37408</v>
      </c>
      <c r="B19" s="11">
        <v>50.034532889667787</v>
      </c>
      <c r="C19" s="10">
        <f t="shared" si="0"/>
        <v>5.4290718038529029</v>
      </c>
    </row>
    <row r="20" spans="1:3" x14ac:dyDescent="0.3">
      <c r="A20" s="8">
        <v>37438</v>
      </c>
      <c r="B20" s="11">
        <v>50.533215941724272</v>
      </c>
      <c r="C20" s="10">
        <f t="shared" si="0"/>
        <v>5.1903114186851118</v>
      </c>
    </row>
    <row r="21" spans="1:3" x14ac:dyDescent="0.3">
      <c r="A21" s="8">
        <v>37469</v>
      </c>
      <c r="B21" s="11">
        <v>50.782557467752525</v>
      </c>
      <c r="C21" s="10">
        <f t="shared" si="0"/>
        <v>4.9828178694158121</v>
      </c>
    </row>
    <row r="22" spans="1:3" x14ac:dyDescent="0.3">
      <c r="A22" s="8">
        <v>37500</v>
      </c>
      <c r="B22" s="11">
        <v>50.865671309761936</v>
      </c>
      <c r="C22" s="10">
        <f t="shared" si="0"/>
        <v>5.5172413793103336</v>
      </c>
    </row>
    <row r="23" spans="1:3" x14ac:dyDescent="0.3">
      <c r="A23" s="8">
        <v>37530</v>
      </c>
      <c r="B23" s="11">
        <v>51.115012835790182</v>
      </c>
      <c r="C23" s="10">
        <f t="shared" si="0"/>
        <v>4.9488054607508492</v>
      </c>
    </row>
    <row r="24" spans="1:3" x14ac:dyDescent="0.3">
      <c r="A24" s="8">
        <v>37561</v>
      </c>
      <c r="B24" s="11">
        <v>51.28124051980901</v>
      </c>
      <c r="C24" s="10">
        <f t="shared" si="0"/>
        <v>4.5762711864406835</v>
      </c>
    </row>
    <row r="25" spans="1:3" x14ac:dyDescent="0.3">
      <c r="A25" s="8">
        <v>37591</v>
      </c>
      <c r="B25" s="11">
        <v>50.948785151771347</v>
      </c>
      <c r="C25" s="10">
        <f t="shared" si="0"/>
        <v>4.2517006802720969</v>
      </c>
    </row>
    <row r="26" spans="1:3" x14ac:dyDescent="0.3">
      <c r="A26" s="8">
        <v>37622</v>
      </c>
      <c r="B26" s="11">
        <v>50.865671309761936</v>
      </c>
      <c r="C26" s="10">
        <f t="shared" si="0"/>
        <v>4.4368600682593851</v>
      </c>
    </row>
    <row r="27" spans="1:3" x14ac:dyDescent="0.3">
      <c r="A27" s="8">
        <v>37653</v>
      </c>
      <c r="B27" s="11">
        <v>51.031898993780764</v>
      </c>
      <c r="C27" s="10">
        <f t="shared" si="0"/>
        <v>4.9572649572649397</v>
      </c>
    </row>
    <row r="28" spans="1:3" x14ac:dyDescent="0.3">
      <c r="A28" s="8">
        <v>37681</v>
      </c>
      <c r="B28" s="11">
        <v>51.364354361818421</v>
      </c>
      <c r="C28" s="10">
        <f t="shared" si="0"/>
        <v>4.9235993208828432</v>
      </c>
    </row>
    <row r="29" spans="1:3" x14ac:dyDescent="0.3">
      <c r="A29" s="8">
        <v>37712</v>
      </c>
      <c r="B29" s="11">
        <v>52.112378939903159</v>
      </c>
      <c r="C29" s="10">
        <f t="shared" si="0"/>
        <v>5.912162162162149</v>
      </c>
    </row>
    <row r="30" spans="1:3" x14ac:dyDescent="0.3">
      <c r="A30" s="8">
        <v>37742</v>
      </c>
      <c r="B30" s="11">
        <v>52.19549278191257</v>
      </c>
      <c r="C30" s="10">
        <f t="shared" si="0"/>
        <v>5.3691275167784935</v>
      </c>
    </row>
    <row r="31" spans="1:3" x14ac:dyDescent="0.3">
      <c r="A31" s="8">
        <v>37773</v>
      </c>
      <c r="B31" s="11">
        <v>52.361720465931405</v>
      </c>
      <c r="C31" s="10">
        <f t="shared" si="0"/>
        <v>4.6511627906976827</v>
      </c>
    </row>
    <row r="32" spans="1:3" x14ac:dyDescent="0.3">
      <c r="A32" s="8">
        <v>37803</v>
      </c>
      <c r="B32" s="11">
        <v>52.77728967597848</v>
      </c>
      <c r="C32" s="10">
        <f t="shared" si="0"/>
        <v>4.4407894736842257</v>
      </c>
    </row>
    <row r="33" spans="1:3" x14ac:dyDescent="0.3">
      <c r="A33" s="8">
        <v>37834</v>
      </c>
      <c r="B33" s="11">
        <v>52.444834307940823</v>
      </c>
      <c r="C33" s="10">
        <f t="shared" si="0"/>
        <v>3.2733224222585955</v>
      </c>
    </row>
    <row r="34" spans="1:3" x14ac:dyDescent="0.3">
      <c r="A34" s="8">
        <v>37865</v>
      </c>
      <c r="B34" s="11">
        <v>52.527948149950234</v>
      </c>
      <c r="C34" s="10">
        <f t="shared" si="0"/>
        <v>3.2679738562091387</v>
      </c>
    </row>
    <row r="35" spans="1:3" x14ac:dyDescent="0.3">
      <c r="A35" s="8">
        <v>37895</v>
      </c>
      <c r="B35" s="11">
        <v>52.943517359997315</v>
      </c>
      <c r="C35" s="10">
        <f t="shared" si="0"/>
        <v>3.5772357723577342</v>
      </c>
    </row>
    <row r="36" spans="1:3" x14ac:dyDescent="0.3">
      <c r="A36" s="8">
        <v>37926</v>
      </c>
      <c r="B36" s="11">
        <v>53.026631202006719</v>
      </c>
      <c r="C36" s="10">
        <f t="shared" si="0"/>
        <v>3.4035656401944836</v>
      </c>
    </row>
    <row r="37" spans="1:3" x14ac:dyDescent="0.3">
      <c r="A37" s="8">
        <v>37956</v>
      </c>
      <c r="B37" s="11">
        <v>52.943517359997315</v>
      </c>
      <c r="C37" s="10">
        <f t="shared" si="0"/>
        <v>3.9151712887439016</v>
      </c>
    </row>
    <row r="38" spans="1:3" x14ac:dyDescent="0.3">
      <c r="A38" s="8">
        <v>37987</v>
      </c>
      <c r="B38" s="11">
        <v>53.026631202006719</v>
      </c>
      <c r="C38" s="10">
        <f t="shared" si="0"/>
        <v>4.2483660130718803</v>
      </c>
    </row>
    <row r="39" spans="1:3" x14ac:dyDescent="0.3">
      <c r="A39" s="8">
        <v>38018</v>
      </c>
      <c r="B39" s="11">
        <v>53.026631202006719</v>
      </c>
      <c r="C39" s="10">
        <f t="shared" si="0"/>
        <v>3.9087947882736174</v>
      </c>
    </row>
    <row r="40" spans="1:3" x14ac:dyDescent="0.3">
      <c r="A40" s="8">
        <v>38047</v>
      </c>
      <c r="B40" s="11">
        <v>53.109745044016137</v>
      </c>
      <c r="C40" s="10">
        <f t="shared" si="0"/>
        <v>3.398058252427183</v>
      </c>
    </row>
    <row r="41" spans="1:3" x14ac:dyDescent="0.3">
      <c r="A41" s="8">
        <v>38078</v>
      </c>
      <c r="B41" s="11">
        <v>53.275972728034965</v>
      </c>
      <c r="C41" s="10">
        <f t="shared" si="0"/>
        <v>2.2328548644338087</v>
      </c>
    </row>
    <row r="42" spans="1:3" x14ac:dyDescent="0.3">
      <c r="A42" s="8">
        <v>38108</v>
      </c>
      <c r="B42" s="11">
        <v>53.69154193808204</v>
      </c>
      <c r="C42" s="10">
        <f t="shared" si="0"/>
        <v>2.866242038216571</v>
      </c>
    </row>
    <row r="43" spans="1:3" x14ac:dyDescent="0.3">
      <c r="A43" s="8">
        <v>38139</v>
      </c>
      <c r="B43" s="11">
        <v>54.107111148129114</v>
      </c>
      <c r="C43" s="10">
        <f t="shared" si="0"/>
        <v>3.3333333333333215</v>
      </c>
    </row>
    <row r="44" spans="1:3" x14ac:dyDescent="0.3">
      <c r="A44" s="8">
        <v>38169</v>
      </c>
      <c r="B44" s="11">
        <v>54.522680358176189</v>
      </c>
      <c r="C44" s="10">
        <f t="shared" si="0"/>
        <v>3.3070866141732269</v>
      </c>
    </row>
    <row r="45" spans="1:3" x14ac:dyDescent="0.3">
      <c r="A45" s="8">
        <v>38200</v>
      </c>
      <c r="B45" s="11">
        <v>55.021363410232688</v>
      </c>
      <c r="C45" s="10">
        <f t="shared" si="0"/>
        <v>4.9128367670364437</v>
      </c>
    </row>
    <row r="46" spans="1:3" x14ac:dyDescent="0.3">
      <c r="A46" s="8">
        <v>38231</v>
      </c>
      <c r="B46" s="11">
        <v>55.104477252242098</v>
      </c>
      <c r="C46" s="10">
        <f t="shared" si="0"/>
        <v>4.9050632911392444</v>
      </c>
    </row>
    <row r="47" spans="1:3" x14ac:dyDescent="0.3">
      <c r="A47" s="8">
        <v>38261</v>
      </c>
      <c r="B47" s="11">
        <v>55.520046462289173</v>
      </c>
      <c r="C47" s="10">
        <f t="shared" si="0"/>
        <v>4.8665620094191508</v>
      </c>
    </row>
    <row r="48" spans="1:3" x14ac:dyDescent="0.3">
      <c r="A48" s="8">
        <v>38292</v>
      </c>
      <c r="B48" s="11">
        <v>55.353818778270337</v>
      </c>
      <c r="C48" s="10">
        <f t="shared" si="0"/>
        <v>4.3887147335423204</v>
      </c>
    </row>
    <row r="49" spans="1:3" x14ac:dyDescent="0.3">
      <c r="A49" s="8">
        <v>38322</v>
      </c>
      <c r="B49" s="11">
        <v>54.938249568223263</v>
      </c>
      <c r="C49" s="10">
        <f t="shared" si="0"/>
        <v>3.7676609105180336</v>
      </c>
    </row>
    <row r="50" spans="1:3" x14ac:dyDescent="0.3">
      <c r="A50" s="8">
        <v>38353</v>
      </c>
      <c r="B50" s="11">
        <v>55.353818778270337</v>
      </c>
      <c r="C50" s="10">
        <f t="shared" si="0"/>
        <v>4.3887147335423204</v>
      </c>
    </row>
    <row r="51" spans="1:3" x14ac:dyDescent="0.3">
      <c r="A51" s="8">
        <v>38384</v>
      </c>
      <c r="B51" s="11">
        <v>55.353818778270337</v>
      </c>
      <c r="C51" s="10">
        <f t="shared" si="0"/>
        <v>4.3887147335423204</v>
      </c>
    </row>
    <row r="52" spans="1:3" x14ac:dyDescent="0.3">
      <c r="A52" s="8">
        <v>38412</v>
      </c>
      <c r="B52" s="11">
        <v>55.353818778270337</v>
      </c>
      <c r="C52" s="10">
        <f t="shared" si="0"/>
        <v>4.2253521126760507</v>
      </c>
    </row>
    <row r="53" spans="1:3" x14ac:dyDescent="0.3">
      <c r="A53" s="8">
        <v>38443</v>
      </c>
      <c r="B53" s="11">
        <v>55.769387988317412</v>
      </c>
      <c r="C53" s="10">
        <f t="shared" si="0"/>
        <v>4.6801872074883066</v>
      </c>
    </row>
    <row r="54" spans="1:3" x14ac:dyDescent="0.3">
      <c r="A54" s="8">
        <v>38473</v>
      </c>
      <c r="B54" s="11">
        <v>55.436932620279762</v>
      </c>
      <c r="C54" s="10">
        <f t="shared" si="0"/>
        <v>3.2507739938080649</v>
      </c>
    </row>
    <row r="55" spans="1:3" x14ac:dyDescent="0.3">
      <c r="A55" s="8">
        <v>38504</v>
      </c>
      <c r="B55" s="11">
        <v>55.520046462289173</v>
      </c>
      <c r="C55" s="10">
        <f t="shared" si="0"/>
        <v>2.611367127496167</v>
      </c>
    </row>
    <row r="56" spans="1:3" x14ac:dyDescent="0.3">
      <c r="A56" s="8">
        <v>38534</v>
      </c>
      <c r="B56" s="11">
        <v>56.43429872439274</v>
      </c>
      <c r="C56" s="10">
        <f t="shared" si="0"/>
        <v>3.5060975609756184</v>
      </c>
    </row>
    <row r="57" spans="1:3" x14ac:dyDescent="0.3">
      <c r="A57" s="8">
        <v>38565</v>
      </c>
      <c r="B57" s="11">
        <v>56.600526408411561</v>
      </c>
      <c r="C57" s="10">
        <f t="shared" si="0"/>
        <v>2.8700906344410582</v>
      </c>
    </row>
    <row r="58" spans="1:3" x14ac:dyDescent="0.3">
      <c r="A58" s="8">
        <v>38596</v>
      </c>
      <c r="B58" s="11">
        <v>56.683640250420986</v>
      </c>
      <c r="C58" s="10">
        <f t="shared" si="0"/>
        <v>2.8657616892911131</v>
      </c>
    </row>
    <row r="59" spans="1:3" x14ac:dyDescent="0.3">
      <c r="A59" s="8">
        <v>38626</v>
      </c>
      <c r="B59" s="11">
        <v>57.182323302477471</v>
      </c>
      <c r="C59" s="10">
        <f t="shared" si="0"/>
        <v>2.9940119760478945</v>
      </c>
    </row>
    <row r="60" spans="1:3" x14ac:dyDescent="0.3">
      <c r="A60" s="8">
        <v>38657</v>
      </c>
      <c r="B60" s="11">
        <v>57.764120196543374</v>
      </c>
      <c r="C60" s="10">
        <f t="shared" si="0"/>
        <v>4.3543543543543617</v>
      </c>
    </row>
    <row r="61" spans="1:3" x14ac:dyDescent="0.3">
      <c r="A61" s="8">
        <v>38687</v>
      </c>
      <c r="B61" s="11">
        <v>57.514778670515135</v>
      </c>
      <c r="C61" s="10">
        <f t="shared" si="0"/>
        <v>4.689863842662656</v>
      </c>
    </row>
    <row r="62" spans="1:3" x14ac:dyDescent="0.3">
      <c r="A62" s="8">
        <v>38718</v>
      </c>
      <c r="B62" s="11">
        <v>57.597892512524545</v>
      </c>
      <c r="C62" s="10">
        <f t="shared" si="0"/>
        <v>4.0540540540540571</v>
      </c>
    </row>
    <row r="63" spans="1:3" x14ac:dyDescent="0.3">
      <c r="A63" s="8">
        <v>38749</v>
      </c>
      <c r="B63" s="11">
        <v>57.597892512524545</v>
      </c>
      <c r="C63" s="10">
        <f t="shared" si="0"/>
        <v>4.0540540540540571</v>
      </c>
    </row>
    <row r="64" spans="1:3" x14ac:dyDescent="0.3">
      <c r="A64" s="8">
        <v>38777</v>
      </c>
      <c r="B64" s="11">
        <v>57.597892512524545</v>
      </c>
      <c r="C64" s="10">
        <f t="shared" si="0"/>
        <v>4.0540540540540571</v>
      </c>
    </row>
    <row r="65" spans="1:3" x14ac:dyDescent="0.3">
      <c r="A65" s="8">
        <v>38808</v>
      </c>
      <c r="B65" s="11">
        <v>58.179689406590448</v>
      </c>
      <c r="C65" s="10">
        <f t="shared" si="0"/>
        <v>4.3219076005961421</v>
      </c>
    </row>
    <row r="66" spans="1:3" x14ac:dyDescent="0.3">
      <c r="A66" s="8">
        <v>38838</v>
      </c>
      <c r="B66" s="11">
        <v>58.927713984675187</v>
      </c>
      <c r="C66" s="10">
        <f t="shared" si="0"/>
        <v>6.2968515742128917</v>
      </c>
    </row>
    <row r="67" spans="1:3" x14ac:dyDescent="0.3">
      <c r="A67" s="8">
        <v>38869</v>
      </c>
      <c r="B67" s="11">
        <v>59.758852404769335</v>
      </c>
      <c r="C67" s="10">
        <f t="shared" si="0"/>
        <v>7.6347305389221631</v>
      </c>
    </row>
    <row r="68" spans="1:3" x14ac:dyDescent="0.3">
      <c r="A68" s="8">
        <v>38899</v>
      </c>
      <c r="B68" s="11">
        <v>60.091307772806992</v>
      </c>
      <c r="C68" s="10">
        <f t="shared" si="0"/>
        <v>6.4801178203240051</v>
      </c>
    </row>
    <row r="69" spans="1:3" x14ac:dyDescent="0.3">
      <c r="A69" s="8">
        <v>38930</v>
      </c>
      <c r="B69" s="11">
        <v>60.506876982854067</v>
      </c>
      <c r="C69" s="10">
        <f t="shared" si="0"/>
        <v>6.9016152716593338</v>
      </c>
    </row>
    <row r="70" spans="1:3" x14ac:dyDescent="0.3">
      <c r="A70" s="8">
        <v>38961</v>
      </c>
      <c r="B70" s="11">
        <v>60.922446192901141</v>
      </c>
      <c r="C70" s="10">
        <f t="shared" si="0"/>
        <v>7.4780058651026327</v>
      </c>
    </row>
    <row r="71" spans="1:3" x14ac:dyDescent="0.3">
      <c r="A71" s="8">
        <v>38991</v>
      </c>
      <c r="B71" s="11">
        <v>61.670470770985879</v>
      </c>
      <c r="C71" s="10">
        <f t="shared" si="0"/>
        <v>7.8488372093023395</v>
      </c>
    </row>
    <row r="72" spans="1:3" x14ac:dyDescent="0.3">
      <c r="A72" s="8">
        <v>39022</v>
      </c>
      <c r="B72" s="11">
        <v>61.670470770985879</v>
      </c>
      <c r="C72" s="10">
        <f t="shared" si="0"/>
        <v>6.7625899280575608</v>
      </c>
    </row>
    <row r="73" spans="1:3" x14ac:dyDescent="0.3">
      <c r="A73" s="8">
        <v>39052</v>
      </c>
      <c r="B73" s="11">
        <v>61.42112924495764</v>
      </c>
      <c r="C73" s="10">
        <f t="shared" si="0"/>
        <v>6.7919075144508678</v>
      </c>
    </row>
    <row r="74" spans="1:3" x14ac:dyDescent="0.3">
      <c r="A74" s="8">
        <v>39083</v>
      </c>
      <c r="B74" s="11">
        <v>61.42112924495764</v>
      </c>
      <c r="C74" s="10">
        <f t="shared" si="0"/>
        <v>6.6378066378066425</v>
      </c>
    </row>
    <row r="75" spans="1:3" x14ac:dyDescent="0.3">
      <c r="A75" s="8">
        <v>39114</v>
      </c>
      <c r="B75" s="11">
        <v>61.587356928976455</v>
      </c>
      <c r="C75" s="10">
        <f t="shared" si="0"/>
        <v>6.9264069264069139</v>
      </c>
    </row>
    <row r="76" spans="1:3" x14ac:dyDescent="0.3">
      <c r="A76" s="8">
        <v>39142</v>
      </c>
      <c r="B76" s="11">
        <v>61.587356928976455</v>
      </c>
      <c r="C76" s="10">
        <f t="shared" si="0"/>
        <v>6.9264069264069139</v>
      </c>
    </row>
    <row r="77" spans="1:3" x14ac:dyDescent="0.3">
      <c r="A77" s="8">
        <v>39173</v>
      </c>
      <c r="B77" s="11">
        <v>62.169153823042365</v>
      </c>
      <c r="C77" s="10">
        <f t="shared" si="0"/>
        <v>6.8571428571428505</v>
      </c>
    </row>
    <row r="78" spans="1:3" x14ac:dyDescent="0.3">
      <c r="A78" s="8">
        <v>39203</v>
      </c>
      <c r="B78" s="11">
        <v>62.501609191080028</v>
      </c>
      <c r="C78" s="10">
        <f t="shared" si="0"/>
        <v>6.0648801128349694</v>
      </c>
    </row>
    <row r="79" spans="1:3" x14ac:dyDescent="0.3">
      <c r="A79" s="8">
        <v>39234</v>
      </c>
      <c r="B79" s="11">
        <v>63.000292243136514</v>
      </c>
      <c r="C79" s="10">
        <f t="shared" ref="C79:C142" si="1">100*(B79/B67 - 1)</f>
        <v>5.4242002781641041</v>
      </c>
    </row>
    <row r="80" spans="1:3" x14ac:dyDescent="0.3">
      <c r="A80" s="8">
        <v>39264</v>
      </c>
      <c r="B80" s="11">
        <v>63.914544505240087</v>
      </c>
      <c r="C80" s="10">
        <f t="shared" si="1"/>
        <v>6.3623789764868821</v>
      </c>
    </row>
    <row r="81" spans="1:3" x14ac:dyDescent="0.3">
      <c r="A81" s="8">
        <v>39295</v>
      </c>
      <c r="B81" s="11">
        <v>64.163886031268333</v>
      </c>
      <c r="C81" s="10">
        <f t="shared" si="1"/>
        <v>6.0439560439560669</v>
      </c>
    </row>
    <row r="82" spans="1:3" x14ac:dyDescent="0.3">
      <c r="A82" s="8">
        <v>39326</v>
      </c>
      <c r="B82" s="11">
        <v>64.246999873277744</v>
      </c>
      <c r="C82" s="10">
        <f t="shared" si="1"/>
        <v>5.4570259208731375</v>
      </c>
    </row>
    <row r="83" spans="1:3" x14ac:dyDescent="0.3">
      <c r="A83" s="8">
        <v>39356</v>
      </c>
      <c r="B83" s="11">
        <v>64.745682925334236</v>
      </c>
      <c r="C83" s="10">
        <f t="shared" si="1"/>
        <v>4.9865229110512166</v>
      </c>
    </row>
    <row r="84" spans="1:3" x14ac:dyDescent="0.3">
      <c r="A84" s="8">
        <v>39387</v>
      </c>
      <c r="B84" s="11">
        <v>64.828796767343647</v>
      </c>
      <c r="C84" s="10">
        <f t="shared" si="1"/>
        <v>5.1212938005390729</v>
      </c>
    </row>
    <row r="85" spans="1:3" x14ac:dyDescent="0.3">
      <c r="A85" s="8">
        <v>39417</v>
      </c>
      <c r="B85" s="11">
        <v>64.828796767343647</v>
      </c>
      <c r="C85" s="10">
        <f t="shared" si="1"/>
        <v>5.5480378890392368</v>
      </c>
    </row>
    <row r="86" spans="1:3" x14ac:dyDescent="0.3">
      <c r="A86" s="8">
        <v>39448</v>
      </c>
      <c r="B86" s="11">
        <v>64.911910609353058</v>
      </c>
      <c r="C86" s="10">
        <f t="shared" si="1"/>
        <v>5.6833558863328637</v>
      </c>
    </row>
    <row r="87" spans="1:3" x14ac:dyDescent="0.3">
      <c r="A87" s="8">
        <v>39479</v>
      </c>
      <c r="B87" s="11">
        <v>65.327479819400125</v>
      </c>
      <c r="C87" s="10">
        <f t="shared" si="1"/>
        <v>6.0728744939271273</v>
      </c>
    </row>
    <row r="88" spans="1:3" x14ac:dyDescent="0.3">
      <c r="A88" s="8">
        <v>39508</v>
      </c>
      <c r="B88" s="11">
        <v>66.241732081503699</v>
      </c>
      <c r="C88" s="10">
        <f t="shared" si="1"/>
        <v>7.5573549257759831</v>
      </c>
    </row>
    <row r="89" spans="1:3" x14ac:dyDescent="0.3">
      <c r="A89" s="8">
        <v>39539</v>
      </c>
      <c r="B89" s="11">
        <v>67.072870501597848</v>
      </c>
      <c r="C89" s="10">
        <f t="shared" si="1"/>
        <v>7.8877005347593565</v>
      </c>
    </row>
    <row r="90" spans="1:3" x14ac:dyDescent="0.3">
      <c r="A90" s="8">
        <v>39569</v>
      </c>
      <c r="B90" s="11">
        <v>67.155984343607258</v>
      </c>
      <c r="C90" s="10">
        <f t="shared" si="1"/>
        <v>7.4468085106382809</v>
      </c>
    </row>
    <row r="91" spans="1:3" x14ac:dyDescent="0.3">
      <c r="A91" s="8">
        <v>39600</v>
      </c>
      <c r="B91" s="11">
        <v>68.070236605710832</v>
      </c>
      <c r="C91" s="10">
        <f t="shared" si="1"/>
        <v>8.0474934036939505</v>
      </c>
    </row>
    <row r="92" spans="1:3" x14ac:dyDescent="0.3">
      <c r="A92" s="8">
        <v>39630</v>
      </c>
      <c r="B92" s="11">
        <v>69.233830393842638</v>
      </c>
      <c r="C92" s="10">
        <f t="shared" si="1"/>
        <v>8.3224967490246993</v>
      </c>
    </row>
    <row r="93" spans="1:3" x14ac:dyDescent="0.3">
      <c r="A93" s="8">
        <v>39661</v>
      </c>
      <c r="B93" s="11">
        <v>70.064968813936787</v>
      </c>
      <c r="C93" s="10">
        <f t="shared" si="1"/>
        <v>9.1968911917098328</v>
      </c>
    </row>
    <row r="94" spans="1:3" x14ac:dyDescent="0.3">
      <c r="A94" s="8">
        <v>39692</v>
      </c>
      <c r="B94" s="11">
        <v>70.7298795500121</v>
      </c>
      <c r="C94" s="10">
        <f t="shared" si="1"/>
        <v>10.090556274256123</v>
      </c>
    </row>
    <row r="95" spans="1:3" x14ac:dyDescent="0.3">
      <c r="A95" s="8">
        <v>39722</v>
      </c>
      <c r="B95" s="11">
        <v>72.059701022162741</v>
      </c>
      <c r="C95" s="10">
        <f t="shared" si="1"/>
        <v>11.296534017971748</v>
      </c>
    </row>
    <row r="96" spans="1:3" x14ac:dyDescent="0.3">
      <c r="A96" s="8">
        <v>39753</v>
      </c>
      <c r="B96" s="11">
        <v>72.059701022162741</v>
      </c>
      <c r="C96" s="10">
        <f t="shared" si="1"/>
        <v>11.153846153846136</v>
      </c>
    </row>
    <row r="97" spans="1:3" x14ac:dyDescent="0.3">
      <c r="A97" s="8">
        <v>39783</v>
      </c>
      <c r="B97" s="11">
        <v>71.062334918049771</v>
      </c>
      <c r="C97" s="10">
        <f t="shared" si="1"/>
        <v>9.6153846153846256</v>
      </c>
    </row>
    <row r="98" spans="1:3" x14ac:dyDescent="0.3">
      <c r="A98" s="8">
        <v>39814</v>
      </c>
      <c r="B98" s="11">
        <v>71.394790286087428</v>
      </c>
      <c r="C98" s="10">
        <f t="shared" si="1"/>
        <v>9.9871959026888604</v>
      </c>
    </row>
    <row r="99" spans="1:3" x14ac:dyDescent="0.3">
      <c r="A99" s="8">
        <v>39845</v>
      </c>
      <c r="B99" s="11">
        <v>71.311676444078003</v>
      </c>
      <c r="C99" s="10">
        <f t="shared" si="1"/>
        <v>9.1603053435114656</v>
      </c>
    </row>
    <row r="100" spans="1:3" x14ac:dyDescent="0.3">
      <c r="A100" s="8">
        <v>39873</v>
      </c>
      <c r="B100" s="11">
        <v>71.561017970106249</v>
      </c>
      <c r="C100" s="10">
        <f t="shared" si="1"/>
        <v>8.0301129234629833</v>
      </c>
    </row>
    <row r="101" spans="1:3" x14ac:dyDescent="0.3">
      <c r="A101" s="8">
        <v>39904</v>
      </c>
      <c r="B101" s="11">
        <v>72.309042548190988</v>
      </c>
      <c r="C101" s="10">
        <f t="shared" si="1"/>
        <v>7.8066914498141182</v>
      </c>
    </row>
    <row r="102" spans="1:3" x14ac:dyDescent="0.3">
      <c r="A102" s="8">
        <v>39934</v>
      </c>
      <c r="B102" s="11">
        <v>73.057067126275726</v>
      </c>
      <c r="C102" s="10">
        <f t="shared" si="1"/>
        <v>8.787128712871306</v>
      </c>
    </row>
    <row r="103" spans="1:3" x14ac:dyDescent="0.3">
      <c r="A103" s="8">
        <v>39965</v>
      </c>
      <c r="B103" s="11">
        <v>73.888205546369875</v>
      </c>
      <c r="C103" s="10">
        <f t="shared" si="1"/>
        <v>8.547008547008538</v>
      </c>
    </row>
    <row r="104" spans="1:3" x14ac:dyDescent="0.3">
      <c r="A104" s="8">
        <v>39995</v>
      </c>
      <c r="B104" s="11">
        <v>76.464734648661732</v>
      </c>
      <c r="C104" s="10">
        <f t="shared" si="1"/>
        <v>10.444177671068422</v>
      </c>
    </row>
    <row r="105" spans="1:3" x14ac:dyDescent="0.3">
      <c r="A105" s="8">
        <v>40026</v>
      </c>
      <c r="B105" s="11">
        <v>77.212759226746471</v>
      </c>
      <c r="C105" s="10">
        <f t="shared" si="1"/>
        <v>10.201660735468554</v>
      </c>
    </row>
    <row r="106" spans="1:3" x14ac:dyDescent="0.3">
      <c r="A106" s="8">
        <v>40057</v>
      </c>
      <c r="B106" s="11">
        <v>77.794556120812373</v>
      </c>
      <c r="C106" s="10">
        <f t="shared" si="1"/>
        <v>9.9882491186838998</v>
      </c>
    </row>
    <row r="107" spans="1:3" x14ac:dyDescent="0.3">
      <c r="A107" s="8">
        <v>40087</v>
      </c>
      <c r="B107" s="11">
        <v>78.625694540906522</v>
      </c>
      <c r="C107" s="10">
        <f t="shared" si="1"/>
        <v>9.1118800461361005</v>
      </c>
    </row>
    <row r="108" spans="1:3" x14ac:dyDescent="0.3">
      <c r="A108" s="8">
        <v>40118</v>
      </c>
      <c r="B108" s="11">
        <v>80.20485753908541</v>
      </c>
      <c r="C108" s="10">
        <f t="shared" si="1"/>
        <v>11.30334486735871</v>
      </c>
    </row>
    <row r="109" spans="1:3" x14ac:dyDescent="0.3">
      <c r="A109" s="8">
        <v>40148</v>
      </c>
      <c r="B109" s="11">
        <v>80.371085223104245</v>
      </c>
      <c r="C109" s="10">
        <f t="shared" si="1"/>
        <v>13.099415204678365</v>
      </c>
    </row>
    <row r="110" spans="1:3" x14ac:dyDescent="0.3">
      <c r="A110" s="8">
        <v>40179</v>
      </c>
      <c r="B110" s="11">
        <v>80.952882117170148</v>
      </c>
      <c r="C110" s="10">
        <f t="shared" si="1"/>
        <v>13.387660069848661</v>
      </c>
    </row>
    <row r="111" spans="1:3" x14ac:dyDescent="0.3">
      <c r="A111" s="8">
        <v>40210</v>
      </c>
      <c r="B111" s="11">
        <v>80.20485753908541</v>
      </c>
      <c r="C111" s="10">
        <f t="shared" si="1"/>
        <v>12.470862470862487</v>
      </c>
    </row>
    <row r="112" spans="1:3" x14ac:dyDescent="0.3">
      <c r="A112" s="8">
        <v>40238</v>
      </c>
      <c r="B112" s="11">
        <v>80.038629855066574</v>
      </c>
      <c r="C112" s="10">
        <f t="shared" si="1"/>
        <v>11.846689895470398</v>
      </c>
    </row>
    <row r="113" spans="1:3" x14ac:dyDescent="0.3">
      <c r="A113" s="8">
        <v>40269</v>
      </c>
      <c r="B113" s="11">
        <v>80.620426749132477</v>
      </c>
      <c r="C113" s="10">
        <f t="shared" si="1"/>
        <v>11.494252873563205</v>
      </c>
    </row>
    <row r="114" spans="1:3" x14ac:dyDescent="0.3">
      <c r="A114" s="8">
        <v>40299</v>
      </c>
      <c r="B114" s="11">
        <v>81.285337485207805</v>
      </c>
      <c r="C114" s="10">
        <f t="shared" si="1"/>
        <v>11.262798634812277</v>
      </c>
    </row>
    <row r="115" spans="1:3" x14ac:dyDescent="0.3">
      <c r="A115" s="8">
        <v>40330</v>
      </c>
      <c r="B115" s="11">
        <v>82.282703589320775</v>
      </c>
      <c r="C115" s="10">
        <f t="shared" si="1"/>
        <v>11.361079865016865</v>
      </c>
    </row>
    <row r="116" spans="1:3" x14ac:dyDescent="0.3">
      <c r="A116" s="8">
        <v>40360</v>
      </c>
      <c r="B116" s="11">
        <v>84.194321955537319</v>
      </c>
      <c r="C116" s="10">
        <f t="shared" si="1"/>
        <v>10.108695652173916</v>
      </c>
    </row>
    <row r="117" spans="1:3" x14ac:dyDescent="0.3">
      <c r="A117" s="8">
        <v>40391</v>
      </c>
      <c r="B117" s="11">
        <v>84.277435797546744</v>
      </c>
      <c r="C117" s="10">
        <f t="shared" si="1"/>
        <v>9.149623250807327</v>
      </c>
    </row>
    <row r="118" spans="1:3" x14ac:dyDescent="0.3">
      <c r="A118" s="8">
        <v>40422</v>
      </c>
      <c r="B118" s="11">
        <v>85.025460375631468</v>
      </c>
      <c r="C118" s="10">
        <f t="shared" si="1"/>
        <v>9.2948717948717849</v>
      </c>
    </row>
    <row r="119" spans="1:3" x14ac:dyDescent="0.3">
      <c r="A119" s="8">
        <v>40452</v>
      </c>
      <c r="B119" s="11">
        <v>85.52414342768796</v>
      </c>
      <c r="C119" s="10">
        <f t="shared" si="1"/>
        <v>8.7737843551797035</v>
      </c>
    </row>
    <row r="120" spans="1:3" x14ac:dyDescent="0.3">
      <c r="A120" s="8">
        <v>40483</v>
      </c>
      <c r="B120" s="11">
        <v>86.022826479744452</v>
      </c>
      <c r="C120" s="10">
        <f t="shared" si="1"/>
        <v>7.2538860103626979</v>
      </c>
    </row>
    <row r="121" spans="1:3" x14ac:dyDescent="0.3">
      <c r="A121" s="8">
        <v>40513</v>
      </c>
      <c r="B121" s="11">
        <v>87.020192583857437</v>
      </c>
      <c r="C121" s="10">
        <f t="shared" si="1"/>
        <v>8.2730093071354602</v>
      </c>
    </row>
    <row r="122" spans="1:3" x14ac:dyDescent="0.3">
      <c r="A122" s="8">
        <v>40544</v>
      </c>
      <c r="B122" s="11">
        <v>89.5</v>
      </c>
      <c r="C122" s="10">
        <f t="shared" si="1"/>
        <v>10.558139079543661</v>
      </c>
    </row>
    <row r="123" spans="1:3" x14ac:dyDescent="0.3">
      <c r="A123" s="8">
        <v>40575</v>
      </c>
      <c r="B123" s="11">
        <v>88.4</v>
      </c>
      <c r="C123" s="10">
        <f t="shared" si="1"/>
        <v>10.217763253205625</v>
      </c>
    </row>
    <row r="124" spans="1:3" x14ac:dyDescent="0.3">
      <c r="A124" s="8">
        <v>40603</v>
      </c>
      <c r="B124" s="11">
        <v>88.4</v>
      </c>
      <c r="C124" s="10">
        <f t="shared" si="1"/>
        <v>10.446668265154146</v>
      </c>
    </row>
    <row r="125" spans="1:3" x14ac:dyDescent="0.3">
      <c r="A125" s="8">
        <v>40634</v>
      </c>
      <c r="B125" s="11">
        <v>89.1</v>
      </c>
      <c r="C125" s="10">
        <f t="shared" si="1"/>
        <v>10.517896757422918</v>
      </c>
    </row>
    <row r="126" spans="1:3" x14ac:dyDescent="0.3">
      <c r="A126" s="8">
        <v>40664</v>
      </c>
      <c r="B126" s="11">
        <v>89.8</v>
      </c>
      <c r="C126" s="10">
        <f t="shared" si="1"/>
        <v>10.475028803739272</v>
      </c>
    </row>
    <row r="127" spans="1:3" x14ac:dyDescent="0.3">
      <c r="A127" s="8">
        <v>40695</v>
      </c>
      <c r="B127" s="11">
        <v>90.6</v>
      </c>
      <c r="C127" s="10">
        <f t="shared" si="1"/>
        <v>10.108195341017812</v>
      </c>
    </row>
    <row r="128" spans="1:3" x14ac:dyDescent="0.3">
      <c r="A128" s="8">
        <v>40725</v>
      </c>
      <c r="B128" s="11">
        <v>91.8</v>
      </c>
      <c r="C128" s="10">
        <f t="shared" si="1"/>
        <v>9.0334809614349041</v>
      </c>
    </row>
    <row r="129" spans="1:3" x14ac:dyDescent="0.3">
      <c r="A129" s="8">
        <v>40756</v>
      </c>
      <c r="B129" s="11">
        <v>92.7</v>
      </c>
      <c r="C129" s="10">
        <f t="shared" si="1"/>
        <v>9.9938543724635167</v>
      </c>
    </row>
    <row r="130" spans="1:3" x14ac:dyDescent="0.3">
      <c r="A130" s="8">
        <v>40787</v>
      </c>
      <c r="B130" s="11">
        <v>93.8</v>
      </c>
      <c r="C130" s="10">
        <f t="shared" si="1"/>
        <v>10.319896635200498</v>
      </c>
    </row>
    <row r="131" spans="1:3" x14ac:dyDescent="0.3">
      <c r="A131" s="8">
        <v>40817</v>
      </c>
      <c r="B131" s="11">
        <v>94.8</v>
      </c>
      <c r="C131" s="10">
        <f t="shared" si="1"/>
        <v>10.845892400144198</v>
      </c>
    </row>
    <row r="132" spans="1:3" x14ac:dyDescent="0.3">
      <c r="A132" s="8">
        <v>40848</v>
      </c>
      <c r="B132" s="11">
        <v>95.2</v>
      </c>
      <c r="C132" s="10">
        <f t="shared" si="1"/>
        <v>10.66830037538522</v>
      </c>
    </row>
    <row r="133" spans="1:3" x14ac:dyDescent="0.3">
      <c r="A133" s="8">
        <v>40878</v>
      </c>
      <c r="B133" s="11">
        <v>94.7</v>
      </c>
      <c r="C133" s="10">
        <f t="shared" si="1"/>
        <v>8.8253165019623214</v>
      </c>
    </row>
    <row r="134" spans="1:3" x14ac:dyDescent="0.3">
      <c r="A134" s="8">
        <v>40909</v>
      </c>
      <c r="B134" s="11">
        <v>95.1</v>
      </c>
      <c r="C134" s="10">
        <f t="shared" si="1"/>
        <v>6.2569832402234571</v>
      </c>
    </row>
    <row r="135" spans="1:3" x14ac:dyDescent="0.3">
      <c r="A135" s="8">
        <v>40940</v>
      </c>
      <c r="B135" s="11">
        <v>95.5</v>
      </c>
      <c r="C135" s="10">
        <f t="shared" si="1"/>
        <v>8.0316742081447892</v>
      </c>
    </row>
    <row r="136" spans="1:3" x14ac:dyDescent="0.3">
      <c r="A136" s="8">
        <v>40969</v>
      </c>
      <c r="B136" s="11">
        <v>96.4</v>
      </c>
      <c r="C136" s="10">
        <f t="shared" si="1"/>
        <v>9.0497737556560978</v>
      </c>
    </row>
    <row r="137" spans="1:3" x14ac:dyDescent="0.3">
      <c r="A137" s="8">
        <v>41000</v>
      </c>
      <c r="B137" s="11">
        <v>97.8</v>
      </c>
      <c r="C137" s="10">
        <f t="shared" si="1"/>
        <v>9.7643097643097754</v>
      </c>
    </row>
    <row r="138" spans="1:3" x14ac:dyDescent="0.3">
      <c r="A138" s="8">
        <v>41030</v>
      </c>
      <c r="B138" s="11">
        <v>98.6</v>
      </c>
      <c r="C138" s="10">
        <f t="shared" si="1"/>
        <v>9.7995545657015626</v>
      </c>
    </row>
    <row r="139" spans="1:3" x14ac:dyDescent="0.3">
      <c r="A139" s="8">
        <v>41061</v>
      </c>
      <c r="B139" s="11">
        <v>99.8</v>
      </c>
      <c r="C139" s="10">
        <f t="shared" si="1"/>
        <v>10.154525386313473</v>
      </c>
    </row>
    <row r="140" spans="1:3" x14ac:dyDescent="0.3">
      <c r="A140" s="8">
        <v>41091</v>
      </c>
      <c r="B140" s="11">
        <v>101.1</v>
      </c>
      <c r="C140" s="10">
        <f t="shared" si="1"/>
        <v>10.130718954248351</v>
      </c>
    </row>
    <row r="141" spans="1:3" x14ac:dyDescent="0.3">
      <c r="A141" s="8">
        <v>41122</v>
      </c>
      <c r="B141" s="11">
        <v>102.2</v>
      </c>
      <c r="C141" s="10">
        <f t="shared" si="1"/>
        <v>10.248112189859771</v>
      </c>
    </row>
    <row r="142" spans="1:3" x14ac:dyDescent="0.3">
      <c r="A142" s="8">
        <v>41153</v>
      </c>
      <c r="B142" s="11">
        <v>102.9</v>
      </c>
      <c r="C142" s="10">
        <f t="shared" si="1"/>
        <v>9.7014925373134488</v>
      </c>
    </row>
    <row r="143" spans="1:3" x14ac:dyDescent="0.3">
      <c r="A143" s="8">
        <v>41183</v>
      </c>
      <c r="B143" s="11">
        <v>103.6</v>
      </c>
      <c r="C143" s="10">
        <f t="shared" ref="C143:C206" si="2">100*(B143/B131 - 1)</f>
        <v>9.2827004219409268</v>
      </c>
    </row>
    <row r="144" spans="1:3" x14ac:dyDescent="0.3">
      <c r="A144" s="8">
        <v>41214</v>
      </c>
      <c r="B144" s="11">
        <v>104.3</v>
      </c>
      <c r="C144" s="10">
        <f t="shared" si="2"/>
        <v>9.5588235294117538</v>
      </c>
    </row>
    <row r="145" spans="1:3" x14ac:dyDescent="0.3">
      <c r="A145" s="8">
        <v>41244</v>
      </c>
      <c r="B145" s="11">
        <v>104.6</v>
      </c>
      <c r="C145" s="10">
        <f t="shared" si="2"/>
        <v>10.45406546990495</v>
      </c>
    </row>
    <row r="146" spans="1:3" x14ac:dyDescent="0.3">
      <c r="A146" s="8">
        <v>41275</v>
      </c>
      <c r="B146" s="11">
        <v>104.6</v>
      </c>
      <c r="C146" s="10">
        <f t="shared" si="2"/>
        <v>9.9894847528916983</v>
      </c>
    </row>
    <row r="147" spans="1:3" x14ac:dyDescent="0.3">
      <c r="A147" s="8">
        <v>41306</v>
      </c>
      <c r="B147" s="11">
        <v>105.3</v>
      </c>
      <c r="C147" s="10">
        <f t="shared" si="2"/>
        <v>10.261780104712038</v>
      </c>
    </row>
    <row r="148" spans="1:3" x14ac:dyDescent="0.3">
      <c r="A148" s="8">
        <v>41334</v>
      </c>
      <c r="B148" s="11">
        <v>105.5</v>
      </c>
      <c r="C148" s="10">
        <f t="shared" si="2"/>
        <v>9.4398340248962533</v>
      </c>
    </row>
    <row r="149" spans="1:3" x14ac:dyDescent="0.3">
      <c r="A149" s="8">
        <v>41365</v>
      </c>
      <c r="B149" s="11">
        <v>106.1</v>
      </c>
      <c r="C149" s="10">
        <f t="shared" si="2"/>
        <v>8.4867075664621705</v>
      </c>
    </row>
    <row r="150" spans="1:3" x14ac:dyDescent="0.3">
      <c r="A150" s="8">
        <v>41395</v>
      </c>
      <c r="B150" s="11">
        <v>106.9</v>
      </c>
      <c r="C150" s="10">
        <f t="shared" si="2"/>
        <v>8.417849898580144</v>
      </c>
    </row>
    <row r="151" spans="1:3" x14ac:dyDescent="0.3">
      <c r="A151" s="8">
        <v>41426</v>
      </c>
      <c r="B151" s="11">
        <v>109.3</v>
      </c>
      <c r="C151" s="10">
        <f t="shared" si="2"/>
        <v>9.5190380761523095</v>
      </c>
    </row>
    <row r="152" spans="1:3" x14ac:dyDescent="0.3">
      <c r="A152" s="8">
        <v>41456</v>
      </c>
      <c r="B152" s="11">
        <v>111</v>
      </c>
      <c r="C152" s="10">
        <f t="shared" si="2"/>
        <v>9.792284866468858</v>
      </c>
    </row>
    <row r="153" spans="1:3" x14ac:dyDescent="0.3">
      <c r="A153" s="8">
        <v>41487</v>
      </c>
      <c r="B153" s="11">
        <v>112.4</v>
      </c>
      <c r="C153" s="10">
        <f t="shared" si="2"/>
        <v>9.980430528375738</v>
      </c>
    </row>
    <row r="154" spans="1:3" x14ac:dyDescent="0.3">
      <c r="A154" s="8">
        <v>41518</v>
      </c>
      <c r="B154" s="11">
        <v>113.7</v>
      </c>
      <c r="C154" s="10">
        <f t="shared" si="2"/>
        <v>10.495626822157433</v>
      </c>
    </row>
    <row r="155" spans="1:3" x14ac:dyDescent="0.3">
      <c r="A155" s="8">
        <v>41548</v>
      </c>
      <c r="B155" s="11">
        <v>114.8</v>
      </c>
      <c r="C155" s="10">
        <f t="shared" si="2"/>
        <v>10.810810810810811</v>
      </c>
    </row>
    <row r="156" spans="1:3" x14ac:dyDescent="0.3">
      <c r="A156" s="8">
        <v>41579</v>
      </c>
      <c r="B156" s="11">
        <v>116.3</v>
      </c>
      <c r="C156" s="10">
        <f t="shared" si="2"/>
        <v>11.505273250239689</v>
      </c>
    </row>
    <row r="157" spans="1:3" x14ac:dyDescent="0.3">
      <c r="A157" s="8">
        <v>41609</v>
      </c>
      <c r="B157" s="11">
        <v>114.5</v>
      </c>
      <c r="C157" s="10">
        <f t="shared" si="2"/>
        <v>9.46462715105163</v>
      </c>
    </row>
    <row r="158" spans="1:3" x14ac:dyDescent="0.3">
      <c r="A158" s="8">
        <v>41640</v>
      </c>
      <c r="B158" s="11">
        <v>113.6</v>
      </c>
      <c r="C158" s="10">
        <f t="shared" si="2"/>
        <v>8.604206500956014</v>
      </c>
    </row>
    <row r="159" spans="1:3" x14ac:dyDescent="0.3">
      <c r="A159" s="8">
        <v>41671</v>
      </c>
      <c r="B159" s="11">
        <v>113.6</v>
      </c>
      <c r="C159" s="10">
        <f t="shared" si="2"/>
        <v>7.882241215574548</v>
      </c>
    </row>
    <row r="160" spans="1:3" x14ac:dyDescent="0.3">
      <c r="A160" s="8">
        <v>41699</v>
      </c>
      <c r="B160" s="11">
        <v>114.2</v>
      </c>
      <c r="C160" s="10">
        <f t="shared" si="2"/>
        <v>8.2464454976303401</v>
      </c>
    </row>
    <row r="161" spans="1:3" x14ac:dyDescent="0.3">
      <c r="A161" s="8">
        <v>41730</v>
      </c>
      <c r="B161" s="11">
        <v>115.1</v>
      </c>
      <c r="C161" s="10">
        <f t="shared" si="2"/>
        <v>8.4825636192271467</v>
      </c>
    </row>
    <row r="162" spans="1:3" x14ac:dyDescent="0.3">
      <c r="A162" s="8">
        <v>41760</v>
      </c>
      <c r="B162" s="11">
        <v>115.8</v>
      </c>
      <c r="C162" s="10">
        <f t="shared" si="2"/>
        <v>8.3255378858746454</v>
      </c>
    </row>
    <row r="163" spans="1:3" x14ac:dyDescent="0.3">
      <c r="A163" s="8">
        <v>41791</v>
      </c>
      <c r="B163" s="11">
        <v>116.7</v>
      </c>
      <c r="C163" s="10">
        <f t="shared" si="2"/>
        <v>6.7703568161024741</v>
      </c>
    </row>
    <row r="164" spans="1:3" x14ac:dyDescent="0.3">
      <c r="A164" s="8">
        <v>41821</v>
      </c>
      <c r="B164" s="11">
        <v>119.2</v>
      </c>
      <c r="C164" s="10">
        <f t="shared" si="2"/>
        <v>7.3873873873874008</v>
      </c>
    </row>
    <row r="165" spans="1:3" x14ac:dyDescent="0.3">
      <c r="A165" s="8">
        <v>41852</v>
      </c>
      <c r="B165" s="11">
        <v>120.3</v>
      </c>
      <c r="C165" s="10">
        <f t="shared" si="2"/>
        <v>7.0284697508896654</v>
      </c>
    </row>
    <row r="166" spans="1:3" x14ac:dyDescent="0.3">
      <c r="A166" s="8">
        <v>41883</v>
      </c>
      <c r="B166" s="11">
        <v>120.1</v>
      </c>
      <c r="C166" s="10">
        <f t="shared" si="2"/>
        <v>5.6288478452066748</v>
      </c>
    </row>
    <row r="167" spans="1:3" x14ac:dyDescent="0.3">
      <c r="A167" s="8">
        <v>41913</v>
      </c>
      <c r="B167" s="11">
        <v>120.1</v>
      </c>
      <c r="C167" s="10">
        <f t="shared" si="2"/>
        <v>4.6167247386759591</v>
      </c>
    </row>
    <row r="168" spans="1:3" x14ac:dyDescent="0.3">
      <c r="A168" s="8">
        <v>41944</v>
      </c>
      <c r="B168" s="11">
        <v>120.1</v>
      </c>
      <c r="C168" s="10">
        <f t="shared" si="2"/>
        <v>3.2674118658641449</v>
      </c>
    </row>
    <row r="169" spans="1:3" x14ac:dyDescent="0.3">
      <c r="A169" s="8">
        <v>41974</v>
      </c>
      <c r="B169" s="11">
        <v>119.4</v>
      </c>
      <c r="C169" s="10">
        <f t="shared" si="2"/>
        <v>4.2794759825327544</v>
      </c>
    </row>
    <row r="170" spans="1:3" x14ac:dyDescent="0.3">
      <c r="A170" s="8">
        <v>42005</v>
      </c>
      <c r="B170" s="11">
        <v>119.5</v>
      </c>
      <c r="C170" s="10">
        <f t="shared" si="2"/>
        <v>5.1936619718309984</v>
      </c>
    </row>
    <row r="171" spans="1:3" x14ac:dyDescent="0.3">
      <c r="A171" s="8">
        <v>42036</v>
      </c>
      <c r="B171" s="11">
        <v>119.7</v>
      </c>
      <c r="C171" s="10">
        <f t="shared" si="2"/>
        <v>5.3697183098591728</v>
      </c>
    </row>
    <row r="172" spans="1:3" x14ac:dyDescent="0.3">
      <c r="A172" s="8">
        <v>42064</v>
      </c>
      <c r="B172" s="11">
        <v>120.2</v>
      </c>
      <c r="C172" s="10">
        <f t="shared" si="2"/>
        <v>5.2539404553415103</v>
      </c>
    </row>
    <row r="173" spans="1:3" x14ac:dyDescent="0.3">
      <c r="A173" s="8">
        <v>42095</v>
      </c>
      <c r="B173" s="11">
        <v>120.7</v>
      </c>
      <c r="C173" s="10">
        <f t="shared" si="2"/>
        <v>4.8653344917463093</v>
      </c>
    </row>
    <row r="174" spans="1:3" x14ac:dyDescent="0.3">
      <c r="A174" s="8">
        <v>42125</v>
      </c>
      <c r="B174" s="11">
        <v>121.6</v>
      </c>
      <c r="C174" s="10">
        <f t="shared" si="2"/>
        <v>5.0086355785837533</v>
      </c>
    </row>
    <row r="175" spans="1:3" x14ac:dyDescent="0.3">
      <c r="A175" s="8">
        <v>42156</v>
      </c>
      <c r="B175" s="11">
        <v>123</v>
      </c>
      <c r="C175" s="10">
        <f t="shared" si="2"/>
        <v>5.3984575835475557</v>
      </c>
    </row>
    <row r="176" spans="1:3" x14ac:dyDescent="0.3">
      <c r="A176" s="8">
        <v>42186</v>
      </c>
      <c r="B176" s="11">
        <v>123.6</v>
      </c>
      <c r="C176" s="10">
        <f t="shared" si="2"/>
        <v>3.691275167785224</v>
      </c>
    </row>
    <row r="177" spans="1:3" x14ac:dyDescent="0.3">
      <c r="A177" s="8">
        <v>42217</v>
      </c>
      <c r="B177" s="11">
        <v>124.8</v>
      </c>
      <c r="C177" s="10">
        <f t="shared" si="2"/>
        <v>3.7406483790523692</v>
      </c>
    </row>
    <row r="178" spans="1:3" x14ac:dyDescent="0.3">
      <c r="A178" s="8">
        <v>42248</v>
      </c>
      <c r="B178" s="11">
        <v>125.4</v>
      </c>
      <c r="C178" s="10">
        <f t="shared" si="2"/>
        <v>4.4129891756869322</v>
      </c>
    </row>
    <row r="179" spans="1:3" x14ac:dyDescent="0.3">
      <c r="A179" s="8">
        <v>42278</v>
      </c>
      <c r="B179" s="11">
        <v>126.1</v>
      </c>
      <c r="C179" s="10">
        <f t="shared" si="2"/>
        <v>4.995836802664444</v>
      </c>
    </row>
    <row r="180" spans="1:3" x14ac:dyDescent="0.3">
      <c r="A180" s="8">
        <v>42309</v>
      </c>
      <c r="B180" s="11">
        <v>126.6</v>
      </c>
      <c r="C180" s="10">
        <f t="shared" si="2"/>
        <v>5.4121565362198254</v>
      </c>
    </row>
    <row r="181" spans="1:3" x14ac:dyDescent="0.3">
      <c r="A181" s="8">
        <v>42339</v>
      </c>
      <c r="B181" s="11">
        <v>126.1</v>
      </c>
      <c r="C181" s="10">
        <f t="shared" si="2"/>
        <v>5.6113902847571007</v>
      </c>
    </row>
    <row r="182" spans="1:3" x14ac:dyDescent="0.3">
      <c r="A182" s="8">
        <v>42370</v>
      </c>
      <c r="B182" s="11">
        <v>126.3</v>
      </c>
      <c r="C182" s="10">
        <f t="shared" si="2"/>
        <v>5.6903765690376584</v>
      </c>
    </row>
    <row r="183" spans="1:3" x14ac:dyDescent="0.3">
      <c r="A183" s="8">
        <v>42401</v>
      </c>
      <c r="B183" s="11">
        <v>126</v>
      </c>
      <c r="C183" s="10">
        <f t="shared" si="2"/>
        <v>5.2631578947368363</v>
      </c>
    </row>
    <row r="184" spans="1:3" x14ac:dyDescent="0.3">
      <c r="A184" s="8">
        <v>42430</v>
      </c>
      <c r="B184" s="11">
        <v>126</v>
      </c>
      <c r="C184" s="10">
        <f t="shared" si="2"/>
        <v>4.8252911813643884</v>
      </c>
    </row>
    <row r="185" spans="1:3" x14ac:dyDescent="0.3">
      <c r="A185" s="8">
        <v>42461</v>
      </c>
      <c r="B185" s="11">
        <v>127.3</v>
      </c>
      <c r="C185" s="10">
        <f t="shared" si="2"/>
        <v>5.468102734051361</v>
      </c>
    </row>
    <row r="186" spans="1:3" x14ac:dyDescent="0.3">
      <c r="A186" s="8">
        <v>42491</v>
      </c>
      <c r="B186" s="11">
        <v>128.6</v>
      </c>
      <c r="C186" s="10">
        <f t="shared" si="2"/>
        <v>5.7565789473684292</v>
      </c>
    </row>
    <row r="187" spans="1:3" x14ac:dyDescent="0.3">
      <c r="A187" s="8">
        <v>42522</v>
      </c>
      <c r="B187" s="11">
        <v>130.1</v>
      </c>
      <c r="C187" s="10">
        <f t="shared" si="2"/>
        <v>5.7723577235772261</v>
      </c>
    </row>
    <row r="188" spans="1:3" x14ac:dyDescent="0.3">
      <c r="A188" s="8">
        <v>42552</v>
      </c>
      <c r="B188" s="11">
        <v>131.1</v>
      </c>
      <c r="C188" s="10">
        <f t="shared" si="2"/>
        <v>6.0679611650485521</v>
      </c>
    </row>
    <row r="189" spans="1:3" x14ac:dyDescent="0.3">
      <c r="A189" s="8">
        <v>42583</v>
      </c>
      <c r="B189" s="11">
        <v>131.1</v>
      </c>
      <c r="C189" s="10">
        <f t="shared" si="2"/>
        <v>5.0480769230769162</v>
      </c>
    </row>
    <row r="190" spans="1:3" x14ac:dyDescent="0.3">
      <c r="A190" s="8">
        <v>42614</v>
      </c>
      <c r="B190" s="11">
        <v>130.9</v>
      </c>
      <c r="C190" s="10">
        <f t="shared" si="2"/>
        <v>4.3859649122806932</v>
      </c>
    </row>
    <row r="191" spans="1:3" x14ac:dyDescent="0.3">
      <c r="A191" s="8">
        <v>42644</v>
      </c>
      <c r="B191" s="11">
        <v>131.4</v>
      </c>
      <c r="C191" s="10">
        <f t="shared" si="2"/>
        <v>4.2030134813640041</v>
      </c>
    </row>
    <row r="192" spans="1:3" x14ac:dyDescent="0.3">
      <c r="A192" s="8">
        <v>42675</v>
      </c>
      <c r="B192" s="11">
        <v>131.19999999999999</v>
      </c>
      <c r="C192" s="10">
        <f t="shared" si="2"/>
        <v>3.6334913112164191</v>
      </c>
    </row>
    <row r="193" spans="1:3" x14ac:dyDescent="0.3">
      <c r="A193" s="8">
        <v>42705</v>
      </c>
      <c r="B193" s="11">
        <v>130.4</v>
      </c>
      <c r="C193" s="10">
        <f t="shared" si="2"/>
        <v>3.4099920697858943</v>
      </c>
    </row>
    <row r="194" spans="1:3" x14ac:dyDescent="0.3">
      <c r="A194" s="8">
        <v>42736</v>
      </c>
      <c r="B194" s="11">
        <v>130.30000000000001</v>
      </c>
      <c r="C194" s="10">
        <f t="shared" si="2"/>
        <v>3.1670625494853555</v>
      </c>
    </row>
    <row r="195" spans="1:3" x14ac:dyDescent="0.3">
      <c r="A195" s="8">
        <v>42767</v>
      </c>
      <c r="B195" s="11">
        <v>130.6</v>
      </c>
      <c r="C195" s="10">
        <f t="shared" si="2"/>
        <v>3.6507936507936378</v>
      </c>
    </row>
    <row r="196" spans="1:3" x14ac:dyDescent="0.3">
      <c r="A196" s="8">
        <v>42795</v>
      </c>
      <c r="B196" s="11">
        <v>130.9</v>
      </c>
      <c r="C196" s="10">
        <f t="shared" si="2"/>
        <v>3.8888888888888973</v>
      </c>
    </row>
    <row r="197" spans="1:3" x14ac:dyDescent="0.3">
      <c r="A197" s="8">
        <v>42826</v>
      </c>
      <c r="B197" s="11">
        <v>131.1</v>
      </c>
      <c r="C197" s="10">
        <f t="shared" si="2"/>
        <v>2.9850746268656803</v>
      </c>
    </row>
    <row r="198" spans="1:3" x14ac:dyDescent="0.3">
      <c r="A198" s="8">
        <v>42856</v>
      </c>
      <c r="B198" s="11">
        <v>131.4</v>
      </c>
      <c r="C198" s="10">
        <f t="shared" si="2"/>
        <v>2.1772939346812015</v>
      </c>
    </row>
    <row r="199" spans="1:3" x14ac:dyDescent="0.3">
      <c r="A199" s="8">
        <v>42887</v>
      </c>
      <c r="B199" s="11">
        <v>132</v>
      </c>
      <c r="C199" s="10">
        <f t="shared" si="2"/>
        <v>1.4604150653343639</v>
      </c>
    </row>
    <row r="200" spans="1:3" x14ac:dyDescent="0.3">
      <c r="A200" s="8">
        <v>42917</v>
      </c>
      <c r="B200" s="11">
        <v>134.19999999999999</v>
      </c>
      <c r="C200" s="10">
        <f t="shared" si="2"/>
        <v>2.3646071700991644</v>
      </c>
    </row>
    <row r="201" spans="1:3" x14ac:dyDescent="0.3">
      <c r="A201" s="8">
        <v>42948</v>
      </c>
      <c r="B201" s="11">
        <v>135.4</v>
      </c>
      <c r="C201" s="10">
        <f t="shared" si="2"/>
        <v>3.2799389778794819</v>
      </c>
    </row>
    <row r="202" spans="1:3" x14ac:dyDescent="0.3">
      <c r="A202" s="8">
        <v>42979</v>
      </c>
      <c r="B202" s="11">
        <v>135.19999999999999</v>
      </c>
      <c r="C202" s="10">
        <f t="shared" si="2"/>
        <v>3.2849503437738514</v>
      </c>
    </row>
    <row r="203" spans="1:3" x14ac:dyDescent="0.3">
      <c r="A203" s="8">
        <v>43009</v>
      </c>
      <c r="B203" s="11">
        <v>136.1</v>
      </c>
      <c r="C203" s="10">
        <f t="shared" si="2"/>
        <v>3.5768645357686424</v>
      </c>
    </row>
    <row r="204" spans="1:3" x14ac:dyDescent="0.3">
      <c r="A204" s="8">
        <v>43040</v>
      </c>
      <c r="B204" s="11">
        <v>137.6</v>
      </c>
      <c r="C204" s="10">
        <f t="shared" si="2"/>
        <v>4.8780487804878092</v>
      </c>
    </row>
    <row r="205" spans="1:3" x14ac:dyDescent="0.3">
      <c r="A205" s="8">
        <v>43070</v>
      </c>
      <c r="B205" s="11">
        <v>137.19999999999999</v>
      </c>
      <c r="C205" s="10">
        <f t="shared" si="2"/>
        <v>5.2147239263803602</v>
      </c>
    </row>
    <row r="206" spans="1:3" x14ac:dyDescent="0.3">
      <c r="A206" s="8">
        <v>43101</v>
      </c>
      <c r="B206" s="11">
        <v>136.9</v>
      </c>
      <c r="C206" s="10">
        <f t="shared" si="2"/>
        <v>5.0652340752110447</v>
      </c>
    </row>
    <row r="207" spans="1:3" x14ac:dyDescent="0.3">
      <c r="A207" s="8">
        <v>43132</v>
      </c>
      <c r="B207" s="11">
        <v>136.4</v>
      </c>
      <c r="C207" s="10">
        <f t="shared" ref="C207:C270" si="3">100*(B207/B195 - 1)</f>
        <v>4.4410413476263511</v>
      </c>
    </row>
    <row r="208" spans="1:3" x14ac:dyDescent="0.3">
      <c r="A208" s="8">
        <v>43160</v>
      </c>
      <c r="B208" s="11">
        <v>136.5</v>
      </c>
      <c r="C208" s="10">
        <f t="shared" si="3"/>
        <v>4.2780748663101553</v>
      </c>
    </row>
    <row r="209" spans="1:3" x14ac:dyDescent="0.3">
      <c r="A209" s="8">
        <v>43191</v>
      </c>
      <c r="B209" s="11">
        <v>137.1</v>
      </c>
      <c r="C209" s="10">
        <f t="shared" si="3"/>
        <v>4.5766590389016093</v>
      </c>
    </row>
    <row r="210" spans="1:3" x14ac:dyDescent="0.3">
      <c r="A210" s="8">
        <v>43221</v>
      </c>
      <c r="B210" s="11">
        <v>137.80000000000001</v>
      </c>
      <c r="C210" s="10">
        <f t="shared" si="3"/>
        <v>4.8706240487062402</v>
      </c>
    </row>
    <row r="211" spans="1:3" x14ac:dyDescent="0.3">
      <c r="A211" s="8">
        <v>43252</v>
      </c>
      <c r="B211" s="11">
        <v>138.5</v>
      </c>
      <c r="C211" s="10">
        <f t="shared" si="3"/>
        <v>4.924242424242431</v>
      </c>
    </row>
    <row r="212" spans="1:3" x14ac:dyDescent="0.3">
      <c r="A212" s="8">
        <v>43282</v>
      </c>
      <c r="B212" s="11">
        <v>139.80000000000001</v>
      </c>
      <c r="C212" s="10">
        <f t="shared" si="3"/>
        <v>4.1728763040238537</v>
      </c>
    </row>
    <row r="213" spans="1:3" x14ac:dyDescent="0.3">
      <c r="A213" s="8">
        <v>43313</v>
      </c>
      <c r="B213" s="11">
        <v>140.4</v>
      </c>
      <c r="C213" s="10">
        <f t="shared" si="3"/>
        <v>3.692762186115206</v>
      </c>
    </row>
    <row r="214" spans="1:3" x14ac:dyDescent="0.3">
      <c r="A214" s="8">
        <v>43344</v>
      </c>
      <c r="B214" s="11">
        <v>140.19999999999999</v>
      </c>
      <c r="C214" s="10">
        <f t="shared" si="3"/>
        <v>3.6982248520710082</v>
      </c>
    </row>
    <row r="215" spans="1:3" x14ac:dyDescent="0.3">
      <c r="A215" s="8">
        <v>43374</v>
      </c>
      <c r="B215" s="11">
        <v>140.69999999999999</v>
      </c>
      <c r="C215" s="10">
        <f t="shared" si="3"/>
        <v>3.3798677443056535</v>
      </c>
    </row>
    <row r="216" spans="1:3" x14ac:dyDescent="0.3">
      <c r="A216" s="8">
        <v>43405</v>
      </c>
      <c r="B216" s="11">
        <v>140.80000000000001</v>
      </c>
      <c r="C216" s="10">
        <f t="shared" si="3"/>
        <v>2.3255813953488413</v>
      </c>
    </row>
    <row r="217" spans="1:3" x14ac:dyDescent="0.3">
      <c r="A217" s="8">
        <v>43435</v>
      </c>
      <c r="B217" s="11">
        <v>140.1</v>
      </c>
      <c r="C217" s="10">
        <f t="shared" si="3"/>
        <v>2.1137026239067103</v>
      </c>
    </row>
    <row r="218" spans="1:3" x14ac:dyDescent="0.3">
      <c r="A218" s="8">
        <v>43466</v>
      </c>
      <c r="B218" s="11">
        <v>139.6</v>
      </c>
      <c r="C218" s="10">
        <f t="shared" si="3"/>
        <v>1.9722425127830512</v>
      </c>
    </row>
    <row r="219" spans="1:3" x14ac:dyDescent="0.3">
      <c r="A219" s="8">
        <v>43497</v>
      </c>
      <c r="B219" s="11">
        <v>139.9</v>
      </c>
      <c r="C219" s="10">
        <f t="shared" si="3"/>
        <v>2.5659824046920798</v>
      </c>
    </row>
    <row r="220" spans="1:3" x14ac:dyDescent="0.3">
      <c r="A220" s="8">
        <v>43525</v>
      </c>
      <c r="B220" s="11">
        <v>140.4</v>
      </c>
      <c r="C220" s="10">
        <f t="shared" si="3"/>
        <v>2.8571428571428692</v>
      </c>
    </row>
    <row r="221" spans="1:3" x14ac:dyDescent="0.3">
      <c r="A221" s="8">
        <v>43556</v>
      </c>
      <c r="B221" s="11">
        <v>141.19999999999999</v>
      </c>
      <c r="C221" s="10">
        <f t="shared" si="3"/>
        <v>2.9905178701677526</v>
      </c>
    </row>
    <row r="222" spans="1:3" x14ac:dyDescent="0.3">
      <c r="A222" s="8">
        <v>43586</v>
      </c>
      <c r="B222" s="11">
        <v>142</v>
      </c>
      <c r="C222" s="10">
        <f t="shared" si="3"/>
        <v>3.0478955007256836</v>
      </c>
    </row>
    <row r="223" spans="1:3" x14ac:dyDescent="0.3">
      <c r="A223" s="8">
        <v>43617</v>
      </c>
      <c r="B223" s="11">
        <v>142.9</v>
      </c>
      <c r="C223" s="10">
        <f t="shared" si="3"/>
        <v>3.1768953068592065</v>
      </c>
    </row>
    <row r="224" spans="1:3" x14ac:dyDescent="0.3">
      <c r="A224" s="8">
        <v>43647</v>
      </c>
      <c r="B224" s="11">
        <v>144.19999999999999</v>
      </c>
      <c r="C224" s="10">
        <f t="shared" si="3"/>
        <v>3.1473533619456262</v>
      </c>
    </row>
    <row r="225" spans="1:3" x14ac:dyDescent="0.3">
      <c r="A225" s="8">
        <v>43678</v>
      </c>
      <c r="B225" s="11">
        <v>145</v>
      </c>
      <c r="C225" s="10">
        <f t="shared" si="3"/>
        <v>3.2763532763532721</v>
      </c>
    </row>
    <row r="226" spans="1:3" x14ac:dyDescent="0.3">
      <c r="A226" s="8">
        <v>43709</v>
      </c>
      <c r="B226" s="11">
        <v>145.80000000000001</v>
      </c>
      <c r="C226" s="10">
        <f t="shared" si="3"/>
        <v>3.9942938659058624</v>
      </c>
    </row>
    <row r="227" spans="1:3" x14ac:dyDescent="0.3">
      <c r="A227" s="8">
        <v>43739</v>
      </c>
      <c r="B227" s="11">
        <v>147.19999999999999</v>
      </c>
      <c r="C227" s="10">
        <f t="shared" si="3"/>
        <v>4.6197583511016438</v>
      </c>
    </row>
    <row r="228" spans="1:3" x14ac:dyDescent="0.3">
      <c r="A228" s="8">
        <v>43770</v>
      </c>
      <c r="B228" s="11">
        <v>148.6</v>
      </c>
      <c r="C228" s="10">
        <f t="shared" si="3"/>
        <v>5.5397727272727071</v>
      </c>
    </row>
    <row r="229" spans="1:3" x14ac:dyDescent="0.3">
      <c r="A229" s="8">
        <v>43800</v>
      </c>
      <c r="B229" s="11">
        <v>150.4</v>
      </c>
      <c r="C229" s="10">
        <f t="shared" si="3"/>
        <v>7.3518915060670986</v>
      </c>
    </row>
    <row r="230" spans="1:3" x14ac:dyDescent="0.3">
      <c r="A230" s="8">
        <v>43831</v>
      </c>
      <c r="B230" s="11">
        <v>150.19999999999999</v>
      </c>
      <c r="C230" s="10">
        <f t="shared" si="3"/>
        <v>7.5931232091690504</v>
      </c>
    </row>
    <row r="231" spans="1:3" x14ac:dyDescent="0.3">
      <c r="A231" s="8">
        <v>43862</v>
      </c>
      <c r="B231" s="11">
        <v>149.1</v>
      </c>
      <c r="C231" s="10">
        <f t="shared" si="3"/>
        <v>6.5761258041458159</v>
      </c>
    </row>
    <row r="232" spans="1:3" x14ac:dyDescent="0.3">
      <c r="A232" s="8">
        <v>43891</v>
      </c>
      <c r="B232" s="11">
        <v>148.6</v>
      </c>
      <c r="C232" s="10">
        <f t="shared" si="3"/>
        <v>5.8404558404558271</v>
      </c>
    </row>
    <row r="233" spans="1:3" x14ac:dyDescent="0.3">
      <c r="A233" s="8">
        <v>43922</v>
      </c>
      <c r="B233" s="11">
        <v>151.4</v>
      </c>
      <c r="C233" s="10">
        <f t="shared" si="3"/>
        <v>7.2237960339943452</v>
      </c>
    </row>
    <row r="234" spans="1:3" x14ac:dyDescent="0.3">
      <c r="A234" s="8">
        <v>43952</v>
      </c>
      <c r="B234" s="11">
        <v>150.9</v>
      </c>
      <c r="C234" s="10">
        <f t="shared" si="3"/>
        <v>6.2676056338028197</v>
      </c>
    </row>
    <row r="235" spans="1:3" x14ac:dyDescent="0.3">
      <c r="A235" s="8">
        <v>43983</v>
      </c>
      <c r="B235" s="11">
        <v>151.80000000000001</v>
      </c>
      <c r="C235" s="10">
        <f t="shared" si="3"/>
        <v>6.2281315605318355</v>
      </c>
    </row>
    <row r="236" spans="1:3" x14ac:dyDescent="0.3">
      <c r="A236" s="8">
        <v>44013</v>
      </c>
      <c r="B236" s="11">
        <v>153.9</v>
      </c>
      <c r="C236" s="10">
        <f t="shared" si="3"/>
        <v>6.7267683772538334</v>
      </c>
    </row>
    <row r="237" spans="1:3" x14ac:dyDescent="0.3">
      <c r="A237" s="8">
        <v>44044</v>
      </c>
      <c r="B237" s="11">
        <v>154.69999999999999</v>
      </c>
      <c r="C237" s="10">
        <f t="shared" si="3"/>
        <v>6.6896551724137776</v>
      </c>
    </row>
    <row r="238" spans="1:3" x14ac:dyDescent="0.3">
      <c r="A238" s="8">
        <v>44075</v>
      </c>
      <c r="B238" s="11">
        <v>156.4</v>
      </c>
      <c r="C238" s="10">
        <f t="shared" si="3"/>
        <v>7.2702331961591149</v>
      </c>
    </row>
    <row r="239" spans="1:3" x14ac:dyDescent="0.3">
      <c r="A239" s="8">
        <v>44105</v>
      </c>
      <c r="B239" s="11">
        <v>158.4</v>
      </c>
      <c r="C239" s="10">
        <f t="shared" si="3"/>
        <v>7.6086956521739246</v>
      </c>
    </row>
    <row r="240" spans="1:3" x14ac:dyDescent="0.3">
      <c r="A240" s="8">
        <v>44136</v>
      </c>
      <c r="B240" s="11">
        <v>158.9</v>
      </c>
      <c r="C240" s="10">
        <f t="shared" si="3"/>
        <v>6.931359353970401</v>
      </c>
    </row>
    <row r="241" spans="1:3" x14ac:dyDescent="0.3">
      <c r="A241" s="8">
        <v>44166</v>
      </c>
      <c r="B241" s="11">
        <v>157.30000000000001</v>
      </c>
      <c r="C241" s="10">
        <f t="shared" si="3"/>
        <v>4.5877659574468099</v>
      </c>
    </row>
    <row r="242" spans="1:3" x14ac:dyDescent="0.3">
      <c r="A242" s="8">
        <v>44197</v>
      </c>
      <c r="B242" s="11">
        <v>156.30000000000001</v>
      </c>
      <c r="C242" s="10">
        <f t="shared" si="3"/>
        <v>4.0612516644474184</v>
      </c>
    </row>
    <row r="243" spans="1:3" x14ac:dyDescent="0.3">
      <c r="A243" s="8">
        <v>44228</v>
      </c>
      <c r="B243" s="11">
        <v>156.6</v>
      </c>
      <c r="C243" s="10">
        <f t="shared" si="3"/>
        <v>5.0301810865191143</v>
      </c>
    </row>
    <row r="244" spans="1:3" x14ac:dyDescent="0.3">
      <c r="A244" s="8">
        <v>44256</v>
      </c>
      <c r="B244" s="11">
        <v>156.80000000000001</v>
      </c>
      <c r="C244" s="10">
        <f t="shared" si="3"/>
        <v>5.5181695827725585</v>
      </c>
    </row>
    <row r="245" spans="1:3" x14ac:dyDescent="0.3">
      <c r="A245" s="8">
        <v>44287</v>
      </c>
      <c r="B245" s="11">
        <v>157.80000000000001</v>
      </c>
      <c r="C245" s="10">
        <f t="shared" si="3"/>
        <v>4.2272126816380595</v>
      </c>
    </row>
    <row r="246" spans="1:3" x14ac:dyDescent="0.3">
      <c r="A246" s="8">
        <v>44317</v>
      </c>
      <c r="B246" s="11">
        <v>160.4</v>
      </c>
      <c r="C246" s="10">
        <f t="shared" si="3"/>
        <v>6.2955599734923817</v>
      </c>
    </row>
    <row r="247" spans="1:3" x14ac:dyDescent="0.3">
      <c r="A247" s="8">
        <v>44348</v>
      </c>
      <c r="B247" s="11">
        <v>161.30000000000001</v>
      </c>
      <c r="C247" s="10">
        <f t="shared" si="3"/>
        <v>6.2582345191040778</v>
      </c>
    </row>
    <row r="248" spans="1:3" x14ac:dyDescent="0.3">
      <c r="A248" s="8">
        <v>44378</v>
      </c>
      <c r="B248" s="11">
        <v>162.5</v>
      </c>
      <c r="C248" s="10">
        <f t="shared" si="3"/>
        <v>5.5880441845354012</v>
      </c>
    </row>
    <row r="249" spans="1:3" x14ac:dyDescent="0.3">
      <c r="A249" s="8">
        <v>44409</v>
      </c>
      <c r="B249" s="11">
        <v>162.9</v>
      </c>
      <c r="C249" s="10">
        <f t="shared" si="3"/>
        <v>5.3005817711700098</v>
      </c>
    </row>
    <row r="250" spans="1:3" x14ac:dyDescent="0.3">
      <c r="A250" s="8">
        <v>44440</v>
      </c>
      <c r="B250" s="11">
        <v>163.19999999999999</v>
      </c>
      <c r="C250" s="10">
        <f t="shared" si="3"/>
        <v>4.3478260869565188</v>
      </c>
    </row>
    <row r="251" spans="1:3" x14ac:dyDescent="0.3">
      <c r="A251" s="8">
        <v>44470</v>
      </c>
      <c r="B251" s="11">
        <v>165.5</v>
      </c>
      <c r="C251" s="10">
        <f t="shared" si="3"/>
        <v>4.4823232323232265</v>
      </c>
    </row>
    <row r="252" spans="1:3" x14ac:dyDescent="0.3">
      <c r="A252" s="8">
        <v>44501</v>
      </c>
      <c r="B252" s="11">
        <v>166.7</v>
      </c>
      <c r="C252" s="10">
        <f t="shared" si="3"/>
        <v>4.9087476400251573</v>
      </c>
    </row>
    <row r="253" spans="1:3" x14ac:dyDescent="0.3">
      <c r="A253" s="8">
        <v>44531</v>
      </c>
      <c r="B253" s="11">
        <v>166.2</v>
      </c>
      <c r="C253" s="10">
        <f t="shared" si="3"/>
        <v>5.6579783852511056</v>
      </c>
    </row>
    <row r="254" spans="1:3" x14ac:dyDescent="0.3">
      <c r="A254" s="8">
        <v>44562</v>
      </c>
      <c r="B254" s="11">
        <v>165.7</v>
      </c>
      <c r="C254" s="10">
        <f t="shared" si="3"/>
        <v>6.0140754958413201</v>
      </c>
    </row>
    <row r="255" spans="1:3" x14ac:dyDescent="0.3">
      <c r="A255" s="8">
        <v>44593</v>
      </c>
      <c r="B255" s="11">
        <v>166.1</v>
      </c>
      <c r="C255" s="10">
        <f t="shared" si="3"/>
        <v>6.0664112388250313</v>
      </c>
    </row>
    <row r="256" spans="1:3" x14ac:dyDescent="0.3">
      <c r="A256" s="8">
        <v>44621</v>
      </c>
      <c r="B256" s="11">
        <v>167.7</v>
      </c>
      <c r="C256" s="10">
        <f t="shared" si="3"/>
        <v>6.9515306122448939</v>
      </c>
    </row>
    <row r="257" spans="1:3" x14ac:dyDescent="0.3">
      <c r="A257" s="8">
        <v>44652</v>
      </c>
      <c r="B257" s="11">
        <v>170.1</v>
      </c>
      <c r="C257" s="10">
        <f t="shared" si="3"/>
        <v>7.7946768060836336</v>
      </c>
    </row>
    <row r="258" spans="1:3" x14ac:dyDescent="0.3">
      <c r="A258" s="8">
        <v>44682</v>
      </c>
      <c r="B258" s="11">
        <v>171.7</v>
      </c>
      <c r="C258" s="10">
        <f t="shared" si="3"/>
        <v>7.0448877805486143</v>
      </c>
    </row>
    <row r="259" spans="1:3" x14ac:dyDescent="0.3">
      <c r="A259" s="8">
        <v>44713</v>
      </c>
      <c r="B259" s="11">
        <v>172.6</v>
      </c>
      <c r="C259" s="10">
        <f t="shared" si="3"/>
        <v>7.0055796652200852</v>
      </c>
    </row>
    <row r="260" spans="1:3" x14ac:dyDescent="0.3">
      <c r="A260" s="8">
        <v>44743</v>
      </c>
      <c r="B260" s="11">
        <v>173.4</v>
      </c>
      <c r="C260" s="10">
        <f t="shared" si="3"/>
        <v>6.7076923076923034</v>
      </c>
    </row>
    <row r="261" spans="1:3" x14ac:dyDescent="0.3">
      <c r="A261" s="8">
        <v>44774</v>
      </c>
      <c r="B261" s="11">
        <v>174.3</v>
      </c>
      <c r="C261" s="10">
        <f t="shared" si="3"/>
        <v>6.9981583793738533</v>
      </c>
    </row>
    <row r="262" spans="1:3" x14ac:dyDescent="0.3">
      <c r="A262" s="8">
        <v>44805</v>
      </c>
      <c r="B262" s="11">
        <v>175.3</v>
      </c>
      <c r="C262" s="10">
        <f t="shared" si="3"/>
        <v>7.4142156862745168</v>
      </c>
    </row>
    <row r="263" spans="1:3" x14ac:dyDescent="0.3">
      <c r="A263" s="8">
        <v>44835</v>
      </c>
      <c r="B263" s="11">
        <v>176.7</v>
      </c>
      <c r="C263" s="10">
        <f t="shared" si="3"/>
        <v>6.7673716012084606</v>
      </c>
    </row>
    <row r="264" spans="1:3" x14ac:dyDescent="0.3">
      <c r="A264" s="8">
        <v>44866</v>
      </c>
      <c r="B264" s="11">
        <v>176.5</v>
      </c>
      <c r="C264" s="10">
        <f t="shared" si="3"/>
        <v>5.8788242351529796</v>
      </c>
    </row>
    <row r="265" spans="1:3" x14ac:dyDescent="0.3">
      <c r="A265" s="8">
        <v>44896</v>
      </c>
      <c r="B265" s="11">
        <v>175.7</v>
      </c>
      <c r="C265" s="10">
        <f t="shared" si="3"/>
        <v>5.7160048134777375</v>
      </c>
    </row>
    <row r="266" spans="1:3" x14ac:dyDescent="0.3">
      <c r="A266" s="8">
        <v>44927</v>
      </c>
      <c r="B266" s="11">
        <v>176.5</v>
      </c>
      <c r="C266" s="10">
        <f t="shared" si="3"/>
        <v>6.5178032589016333</v>
      </c>
    </row>
    <row r="267" spans="1:3" x14ac:dyDescent="0.3">
      <c r="A267" s="8">
        <v>44958</v>
      </c>
      <c r="B267" s="11">
        <v>176.8</v>
      </c>
      <c r="C267" s="10">
        <f t="shared" si="3"/>
        <v>6.4419024683925352</v>
      </c>
    </row>
    <row r="268" spans="1:3" x14ac:dyDescent="0.3">
      <c r="A268" s="8">
        <v>44986</v>
      </c>
      <c r="B268" s="11">
        <v>177.2</v>
      </c>
      <c r="C268" s="10">
        <f t="shared" si="3"/>
        <v>5.6648777579010101</v>
      </c>
    </row>
    <row r="269" spans="1:3" x14ac:dyDescent="0.3">
      <c r="A269" s="8">
        <v>45017</v>
      </c>
      <c r="B269" s="11">
        <v>178.1</v>
      </c>
      <c r="C269" s="10">
        <f t="shared" si="3"/>
        <v>4.7031158142269325</v>
      </c>
    </row>
    <row r="270" spans="1:3" x14ac:dyDescent="0.3">
      <c r="A270" s="8">
        <v>45047</v>
      </c>
      <c r="B270" s="11">
        <v>179.1</v>
      </c>
      <c r="C270" s="10">
        <f t="shared" si="3"/>
        <v>4.3098427489807856</v>
      </c>
    </row>
    <row r="271" spans="1:3" x14ac:dyDescent="0.3">
      <c r="A271" s="8">
        <v>45078</v>
      </c>
      <c r="B271" s="11">
        <v>181</v>
      </c>
      <c r="C271" s="10">
        <f t="shared" ref="C271:C297" si="4">100*(B271/B259 - 1)</f>
        <v>4.8667439165701154</v>
      </c>
    </row>
    <row r="272" spans="1:3" x14ac:dyDescent="0.3">
      <c r="A272" s="8">
        <v>45108</v>
      </c>
      <c r="B272" s="11">
        <v>186.3</v>
      </c>
      <c r="C272" s="10">
        <f t="shared" si="4"/>
        <v>7.439446366782021</v>
      </c>
    </row>
    <row r="273" spans="1:3" x14ac:dyDescent="0.3">
      <c r="A273" s="8">
        <v>45139</v>
      </c>
      <c r="B273" s="11">
        <v>186.2</v>
      </c>
      <c r="C273" s="10">
        <f t="shared" si="4"/>
        <v>6.8273092369477872</v>
      </c>
    </row>
    <row r="274" spans="1:3" x14ac:dyDescent="0.3">
      <c r="A274" s="8">
        <v>45170</v>
      </c>
      <c r="B274" s="11">
        <v>184.1</v>
      </c>
      <c r="C274" s="10">
        <f t="shared" si="4"/>
        <v>5.0199657729606217</v>
      </c>
    </row>
    <row r="275" spans="1:3" x14ac:dyDescent="0.3">
      <c r="A275" s="8">
        <v>45200</v>
      </c>
      <c r="B275" s="11">
        <v>185.3</v>
      </c>
      <c r="C275" s="10">
        <f t="shared" si="4"/>
        <v>4.8670062252405444</v>
      </c>
    </row>
    <row r="276" spans="1:3" x14ac:dyDescent="0.3">
      <c r="A276" s="8">
        <v>45231</v>
      </c>
      <c r="B276" s="11">
        <v>186.3</v>
      </c>
      <c r="C276" s="10">
        <f t="shared" si="4"/>
        <v>5.5524079320113273</v>
      </c>
    </row>
    <row r="277" spans="1:3" x14ac:dyDescent="0.3">
      <c r="A277" s="8">
        <v>45261</v>
      </c>
      <c r="B277" s="11">
        <v>185.7</v>
      </c>
      <c r="C277" s="10">
        <f t="shared" si="4"/>
        <v>5.6915196357427478</v>
      </c>
    </row>
    <row r="278" spans="1:3" x14ac:dyDescent="0.3">
      <c r="A278" s="8">
        <v>45292</v>
      </c>
      <c r="B278" s="11">
        <v>185.5</v>
      </c>
      <c r="C278" s="10">
        <f t="shared" si="4"/>
        <v>5.0991501416430607</v>
      </c>
    </row>
    <row r="279" spans="1:3" x14ac:dyDescent="0.3">
      <c r="A279" s="8">
        <v>45323</v>
      </c>
      <c r="B279" s="11">
        <v>185.8</v>
      </c>
      <c r="C279" s="10">
        <f t="shared" si="4"/>
        <v>5.0904977375565652</v>
      </c>
    </row>
    <row r="280" spans="1:3" x14ac:dyDescent="0.3">
      <c r="A280" s="8">
        <v>45352</v>
      </c>
      <c r="B280" s="11">
        <v>185.8</v>
      </c>
      <c r="C280" s="10">
        <f t="shared" si="4"/>
        <v>4.8532731376975224</v>
      </c>
    </row>
    <row r="281" spans="1:3" x14ac:dyDescent="0.3">
      <c r="A281" s="8">
        <v>45383</v>
      </c>
      <c r="B281" s="11">
        <v>186.7</v>
      </c>
      <c r="C281" s="10">
        <f t="shared" si="4"/>
        <v>4.8287478944413209</v>
      </c>
    </row>
    <row r="282" spans="1:3" x14ac:dyDescent="0.3">
      <c r="A282" s="8">
        <v>45413</v>
      </c>
      <c r="B282" s="11">
        <v>187.7</v>
      </c>
      <c r="C282" s="10">
        <f t="shared" si="4"/>
        <v>4.8017867113344437</v>
      </c>
    </row>
    <row r="283" spans="1:3" x14ac:dyDescent="0.3">
      <c r="A283" s="8">
        <v>45444</v>
      </c>
      <c r="B283" s="11">
        <v>190.2</v>
      </c>
      <c r="C283" s="10">
        <f t="shared" si="4"/>
        <v>5.0828729281767959</v>
      </c>
    </row>
    <row r="284" spans="1:3" x14ac:dyDescent="0.3">
      <c r="A284" s="8">
        <v>45474</v>
      </c>
      <c r="B284" s="11">
        <v>193</v>
      </c>
      <c r="C284" s="10">
        <f t="shared" si="4"/>
        <v>3.5963499731615611</v>
      </c>
    </row>
    <row r="285" spans="1:3" x14ac:dyDescent="0.3">
      <c r="A285" s="8">
        <v>45505</v>
      </c>
      <c r="B285" s="11">
        <v>193</v>
      </c>
      <c r="C285" s="10">
        <f t="shared" si="4"/>
        <v>3.6519871106337254</v>
      </c>
    </row>
    <row r="286" spans="1:3" x14ac:dyDescent="0.3">
      <c r="A286" s="8">
        <v>45536</v>
      </c>
      <c r="B286" s="11">
        <v>194.2</v>
      </c>
      <c r="C286" s="10">
        <f t="shared" si="4"/>
        <v>5.4861488321564345</v>
      </c>
    </row>
    <row r="287" spans="1:3" x14ac:dyDescent="0.3">
      <c r="A287" s="8">
        <v>45566</v>
      </c>
      <c r="B287" s="11">
        <v>196.8</v>
      </c>
      <c r="C287" s="10">
        <f t="shared" si="4"/>
        <v>6.2061521856449087</v>
      </c>
    </row>
    <row r="288" spans="1:3" x14ac:dyDescent="0.3">
      <c r="A288" s="8">
        <v>45597</v>
      </c>
      <c r="B288" s="11">
        <v>196.5</v>
      </c>
      <c r="C288" s="10">
        <f t="shared" si="4"/>
        <v>5.4750402576489554</v>
      </c>
    </row>
    <row r="289" spans="1:3" x14ac:dyDescent="0.3">
      <c r="A289" s="8">
        <v>45627</v>
      </c>
      <c r="B289" s="11">
        <v>195.4</v>
      </c>
      <c r="C289" s="10">
        <f t="shared" si="4"/>
        <v>5.2234787291330242</v>
      </c>
    </row>
    <row r="290" spans="1:3" x14ac:dyDescent="0.3">
      <c r="A290" s="8">
        <v>45658</v>
      </c>
      <c r="B290" s="11">
        <v>193.4</v>
      </c>
      <c r="C290" s="10">
        <f t="shared" si="4"/>
        <v>4.258760107816717</v>
      </c>
    </row>
    <row r="291" spans="1:3" x14ac:dyDescent="0.3">
      <c r="A291" s="8">
        <v>45689</v>
      </c>
      <c r="B291" s="11">
        <v>192.5</v>
      </c>
      <c r="C291" s="10">
        <f t="shared" si="4"/>
        <v>3.6060279870828715</v>
      </c>
    </row>
    <row r="292" spans="1:3" x14ac:dyDescent="0.3">
      <c r="A292" s="8">
        <v>45717</v>
      </c>
      <c r="B292" s="11">
        <v>192</v>
      </c>
      <c r="C292" s="10">
        <f t="shared" si="4"/>
        <v>3.3369214208826659</v>
      </c>
    </row>
    <row r="293" spans="1:3" x14ac:dyDescent="0.3">
      <c r="A293" s="8">
        <v>45748</v>
      </c>
      <c r="B293" s="11">
        <v>192.6</v>
      </c>
      <c r="C293" s="10">
        <f t="shared" si="4"/>
        <v>3.160149973219073</v>
      </c>
    </row>
    <row r="294" spans="1:3" x14ac:dyDescent="0.3">
      <c r="A294" s="8">
        <v>45778</v>
      </c>
      <c r="B294" s="11">
        <v>193</v>
      </c>
      <c r="C294" s="10">
        <f t="shared" si="4"/>
        <v>2.8236547682472191</v>
      </c>
    </row>
    <row r="295" spans="1:3" x14ac:dyDescent="0.3">
      <c r="A295" s="8">
        <v>45809</v>
      </c>
      <c r="B295" s="11">
        <v>194.2</v>
      </c>
      <c r="C295" s="10">
        <f t="shared" si="4"/>
        <v>2.1030494216614182</v>
      </c>
    </row>
    <row r="296" spans="1:3" x14ac:dyDescent="0.3">
      <c r="A296" s="8">
        <v>45839</v>
      </c>
      <c r="B296" s="11">
        <v>196.1</v>
      </c>
      <c r="C296" s="10">
        <f t="shared" si="4"/>
        <v>1.6062176165803077</v>
      </c>
    </row>
    <row r="297" spans="1:3" x14ac:dyDescent="0.3">
      <c r="A297" s="8">
        <v>45870</v>
      </c>
      <c r="B297" s="11">
        <v>197</v>
      </c>
      <c r="C297" s="10">
        <f t="shared" si="4"/>
        <v>2.0725388601036343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37A8B-DFF8-490C-A432-8B416231ED44}">
  <dimension ref="A1:C99"/>
  <sheetViews>
    <sheetView workbookViewId="0"/>
  </sheetViews>
  <sheetFormatPr defaultRowHeight="14.4" x14ac:dyDescent="0.3"/>
  <sheetData>
    <row r="1" spans="1:3" x14ac:dyDescent="0.3">
      <c r="A1" t="s">
        <v>153</v>
      </c>
      <c r="B1" t="s">
        <v>154</v>
      </c>
    </row>
    <row r="2" spans="1:3" x14ac:dyDescent="0.3">
      <c r="A2" t="s">
        <v>152</v>
      </c>
      <c r="B2">
        <v>46.155886929228423</v>
      </c>
    </row>
    <row r="3" spans="1:3" x14ac:dyDescent="0.3">
      <c r="A3" t="s">
        <v>151</v>
      </c>
      <c r="B3">
        <v>47.014729963325713</v>
      </c>
    </row>
    <row r="4" spans="1:3" x14ac:dyDescent="0.3">
      <c r="A4" t="s">
        <v>150</v>
      </c>
      <c r="B4">
        <v>48.206028365460661</v>
      </c>
    </row>
    <row r="5" spans="1:3" x14ac:dyDescent="0.3">
      <c r="A5" t="s">
        <v>149</v>
      </c>
      <c r="B5">
        <v>48.870939101535981</v>
      </c>
    </row>
    <row r="6" spans="1:3" x14ac:dyDescent="0.3">
      <c r="A6" t="s">
        <v>148</v>
      </c>
      <c r="B6">
        <v>48.760120645523422</v>
      </c>
      <c r="C6">
        <f>100*(B6/B2 - 1)</f>
        <v>5.6422569027611003</v>
      </c>
    </row>
    <row r="7" spans="1:3" x14ac:dyDescent="0.3">
      <c r="A7" t="s">
        <v>147</v>
      </c>
      <c r="B7">
        <v>49.591259065617578</v>
      </c>
      <c r="C7">
        <f t="shared" ref="C7:C70" si="0">100*(B7/B3 - 1)</f>
        <v>5.4802592810842654</v>
      </c>
    </row>
    <row r="8" spans="1:3" x14ac:dyDescent="0.3">
      <c r="A8" t="s">
        <v>146</v>
      </c>
      <c r="B8">
        <v>50.727148239746249</v>
      </c>
      <c r="C8">
        <f t="shared" si="0"/>
        <v>5.2298850574712619</v>
      </c>
    </row>
    <row r="9" spans="1:3" x14ac:dyDescent="0.3">
      <c r="A9" t="s">
        <v>145</v>
      </c>
      <c r="B9">
        <v>51.115012835790175</v>
      </c>
      <c r="C9">
        <f t="shared" si="0"/>
        <v>4.5918367346938549</v>
      </c>
    </row>
    <row r="10" spans="1:3" x14ac:dyDescent="0.3">
      <c r="A10" t="s">
        <v>144</v>
      </c>
      <c r="B10">
        <v>51.087308221787033</v>
      </c>
      <c r="C10">
        <f t="shared" si="0"/>
        <v>4.7727272727272618</v>
      </c>
    </row>
    <row r="11" spans="1:3" x14ac:dyDescent="0.3">
      <c r="A11" t="s">
        <v>143</v>
      </c>
      <c r="B11">
        <v>52.223197395915712</v>
      </c>
      <c r="C11">
        <f t="shared" si="0"/>
        <v>5.3072625698323828</v>
      </c>
    </row>
    <row r="12" spans="1:3" x14ac:dyDescent="0.3">
      <c r="A12" t="s">
        <v>142</v>
      </c>
      <c r="B12">
        <v>52.58335737795651</v>
      </c>
      <c r="C12">
        <f t="shared" si="0"/>
        <v>3.6592026215182871</v>
      </c>
    </row>
    <row r="13" spans="1:3" x14ac:dyDescent="0.3">
      <c r="A13" t="s">
        <v>141</v>
      </c>
      <c r="B13">
        <v>52.97122197400045</v>
      </c>
      <c r="C13">
        <f t="shared" si="0"/>
        <v>3.6314363143631567</v>
      </c>
    </row>
    <row r="14" spans="1:3" x14ac:dyDescent="0.3">
      <c r="A14" t="s">
        <v>140</v>
      </c>
      <c r="B14">
        <v>53.054335816009861</v>
      </c>
      <c r="C14">
        <f t="shared" si="0"/>
        <v>3.8503253796095649</v>
      </c>
    </row>
    <row r="15" spans="1:3" x14ac:dyDescent="0.3">
      <c r="A15" t="s">
        <v>139</v>
      </c>
      <c r="B15">
        <v>53.691541938082047</v>
      </c>
      <c r="C15">
        <f t="shared" si="0"/>
        <v>2.8116710875331741</v>
      </c>
    </row>
    <row r="16" spans="1:3" x14ac:dyDescent="0.3">
      <c r="A16" t="s">
        <v>138</v>
      </c>
      <c r="B16">
        <v>54.882840340216994</v>
      </c>
      <c r="C16">
        <f t="shared" si="0"/>
        <v>4.3730242360379368</v>
      </c>
    </row>
    <row r="17" spans="1:3" x14ac:dyDescent="0.3">
      <c r="A17" t="s">
        <v>137</v>
      </c>
      <c r="B17">
        <v>55.270704936260927</v>
      </c>
      <c r="C17">
        <f t="shared" si="0"/>
        <v>4.3410041841004166</v>
      </c>
    </row>
    <row r="18" spans="1:3" x14ac:dyDescent="0.3">
      <c r="A18" t="s">
        <v>136</v>
      </c>
      <c r="B18">
        <v>55.35381877827033</v>
      </c>
      <c r="C18">
        <f t="shared" si="0"/>
        <v>4.3342036553524643</v>
      </c>
    </row>
    <row r="19" spans="1:3" x14ac:dyDescent="0.3">
      <c r="A19" t="s">
        <v>135</v>
      </c>
      <c r="B19">
        <v>55.575455690295449</v>
      </c>
      <c r="C19">
        <f t="shared" si="0"/>
        <v>3.5087719298245501</v>
      </c>
    </row>
    <row r="20" spans="1:3" x14ac:dyDescent="0.3">
      <c r="A20" t="s">
        <v>134</v>
      </c>
      <c r="B20">
        <v>56.572821794408434</v>
      </c>
      <c r="C20">
        <f t="shared" si="0"/>
        <v>3.0792529025744697</v>
      </c>
    </row>
    <row r="21" spans="1:3" x14ac:dyDescent="0.3">
      <c r="A21" t="s">
        <v>133</v>
      </c>
      <c r="B21">
        <v>57.487074056511993</v>
      </c>
      <c r="C21">
        <f t="shared" si="0"/>
        <v>4.0100250626566414</v>
      </c>
    </row>
    <row r="22" spans="1:3" x14ac:dyDescent="0.3">
      <c r="A22" t="s">
        <v>132</v>
      </c>
      <c r="B22">
        <v>57.597892512524545</v>
      </c>
      <c r="C22">
        <f t="shared" si="0"/>
        <v>4.0540540540540793</v>
      </c>
    </row>
    <row r="23" spans="1:3" x14ac:dyDescent="0.3">
      <c r="A23" t="s">
        <v>131</v>
      </c>
      <c r="B23">
        <v>58.955418598678328</v>
      </c>
      <c r="C23">
        <f t="shared" si="0"/>
        <v>6.0817547357926216</v>
      </c>
    </row>
    <row r="24" spans="1:3" x14ac:dyDescent="0.3">
      <c r="A24" t="s">
        <v>130</v>
      </c>
      <c r="B24">
        <v>60.506876982854067</v>
      </c>
      <c r="C24">
        <f t="shared" si="0"/>
        <v>6.9539666993143845</v>
      </c>
    </row>
    <row r="25" spans="1:3" x14ac:dyDescent="0.3">
      <c r="A25" t="s">
        <v>129</v>
      </c>
      <c r="B25">
        <v>61.587356928976469</v>
      </c>
      <c r="C25">
        <f t="shared" si="0"/>
        <v>7.1325301204819391</v>
      </c>
    </row>
    <row r="26" spans="1:3" x14ac:dyDescent="0.3">
      <c r="A26" t="s">
        <v>128</v>
      </c>
      <c r="B26">
        <v>61.531947700970186</v>
      </c>
      <c r="C26">
        <f t="shared" si="0"/>
        <v>6.8302068302068308</v>
      </c>
    </row>
    <row r="27" spans="1:3" x14ac:dyDescent="0.3">
      <c r="A27" t="s">
        <v>127</v>
      </c>
      <c r="B27">
        <v>62.557018419086297</v>
      </c>
      <c r="C27">
        <f t="shared" si="0"/>
        <v>6.1090225563909639</v>
      </c>
    </row>
    <row r="28" spans="1:3" x14ac:dyDescent="0.3">
      <c r="A28" t="s">
        <v>126</v>
      </c>
      <c r="B28">
        <v>64.108476803262064</v>
      </c>
      <c r="C28">
        <f t="shared" si="0"/>
        <v>5.9523809523809756</v>
      </c>
    </row>
    <row r="29" spans="1:3" x14ac:dyDescent="0.3">
      <c r="A29" t="s">
        <v>125</v>
      </c>
      <c r="B29">
        <v>64.801092153340505</v>
      </c>
      <c r="C29">
        <f t="shared" si="0"/>
        <v>5.2181736392262534</v>
      </c>
    </row>
    <row r="30" spans="1:3" x14ac:dyDescent="0.3">
      <c r="A30" t="s">
        <v>124</v>
      </c>
      <c r="B30">
        <v>65.49370750341896</v>
      </c>
      <c r="C30">
        <f t="shared" si="0"/>
        <v>6.4385411976586981</v>
      </c>
    </row>
    <row r="31" spans="1:3" x14ac:dyDescent="0.3">
      <c r="A31" t="s">
        <v>123</v>
      </c>
      <c r="B31">
        <v>67.433030483638632</v>
      </c>
      <c r="C31">
        <f t="shared" si="0"/>
        <v>7.7945084145261134</v>
      </c>
    </row>
    <row r="32" spans="1:3" x14ac:dyDescent="0.3">
      <c r="A32" t="s">
        <v>122</v>
      </c>
      <c r="B32">
        <v>70.009559585930518</v>
      </c>
      <c r="C32">
        <f t="shared" si="0"/>
        <v>9.204840103716494</v>
      </c>
    </row>
    <row r="33" spans="1:3" x14ac:dyDescent="0.3">
      <c r="A33" t="s">
        <v>121</v>
      </c>
      <c r="B33">
        <v>71.727245654125085</v>
      </c>
      <c r="C33">
        <f t="shared" si="0"/>
        <v>10.688328345446774</v>
      </c>
    </row>
    <row r="34" spans="1:3" x14ac:dyDescent="0.3">
      <c r="A34" t="s">
        <v>120</v>
      </c>
      <c r="B34">
        <v>71.422494900090555</v>
      </c>
      <c r="C34">
        <f t="shared" si="0"/>
        <v>9.0524534686971201</v>
      </c>
    </row>
    <row r="35" spans="1:3" x14ac:dyDescent="0.3">
      <c r="A35" t="s">
        <v>119</v>
      </c>
      <c r="B35">
        <v>73.084771740278867</v>
      </c>
      <c r="C35">
        <f t="shared" si="0"/>
        <v>8.3812654067379135</v>
      </c>
    </row>
    <row r="36" spans="1:3" x14ac:dyDescent="0.3">
      <c r="A36" t="s">
        <v>118</v>
      </c>
      <c r="B36">
        <v>77.157349998740187</v>
      </c>
      <c r="C36">
        <f t="shared" si="0"/>
        <v>10.209734863474452</v>
      </c>
    </row>
    <row r="37" spans="1:3" x14ac:dyDescent="0.3">
      <c r="A37" t="s">
        <v>117</v>
      </c>
      <c r="B37">
        <v>79.733879101032059</v>
      </c>
      <c r="C37">
        <f t="shared" si="0"/>
        <v>11.162611046736192</v>
      </c>
    </row>
    <row r="38" spans="1:3" x14ac:dyDescent="0.3">
      <c r="A38" t="s">
        <v>116</v>
      </c>
      <c r="B38">
        <v>80.398789837107373</v>
      </c>
      <c r="C38">
        <f t="shared" si="0"/>
        <v>12.56788207913111</v>
      </c>
    </row>
    <row r="39" spans="1:3" x14ac:dyDescent="0.3">
      <c r="A39" t="s">
        <v>115</v>
      </c>
      <c r="B39">
        <v>81.396155941220343</v>
      </c>
      <c r="C39">
        <f t="shared" si="0"/>
        <v>11.372251705837733</v>
      </c>
    </row>
    <row r="40" spans="1:3" x14ac:dyDescent="0.3">
      <c r="A40" t="s">
        <v>114</v>
      </c>
      <c r="B40">
        <v>84.499072709571848</v>
      </c>
      <c r="C40">
        <f t="shared" si="0"/>
        <v>9.5152603231597901</v>
      </c>
    </row>
    <row r="41" spans="1:3" x14ac:dyDescent="0.3">
      <c r="A41" t="s">
        <v>113</v>
      </c>
      <c r="B41">
        <v>86.189054163763288</v>
      </c>
      <c r="C41">
        <f t="shared" si="0"/>
        <v>8.0958999305073007</v>
      </c>
    </row>
    <row r="42" spans="1:3" x14ac:dyDescent="0.3">
      <c r="A42" t="s">
        <v>112</v>
      </c>
      <c r="B42">
        <v>88.766666666666666</v>
      </c>
      <c r="C42">
        <f t="shared" si="0"/>
        <v>10.407963660290287</v>
      </c>
    </row>
    <row r="43" spans="1:3" x14ac:dyDescent="0.3">
      <c r="A43" t="s">
        <v>111</v>
      </c>
      <c r="B43">
        <v>89.833333333333329</v>
      </c>
      <c r="C43">
        <f t="shared" si="0"/>
        <v>10.365572298286207</v>
      </c>
    </row>
    <row r="44" spans="1:3" x14ac:dyDescent="0.3">
      <c r="A44" t="s">
        <v>110</v>
      </c>
      <c r="B44">
        <v>92.766666666666666</v>
      </c>
      <c r="C44">
        <f t="shared" si="0"/>
        <v>9.7842422312858002</v>
      </c>
    </row>
    <row r="45" spans="1:3" x14ac:dyDescent="0.3">
      <c r="A45" t="s">
        <v>109</v>
      </c>
      <c r="B45">
        <v>94.899999999999991</v>
      </c>
      <c r="C45">
        <f t="shared" si="0"/>
        <v>10.106788989336746</v>
      </c>
    </row>
    <row r="46" spans="1:3" x14ac:dyDescent="0.3">
      <c r="A46" t="s">
        <v>108</v>
      </c>
      <c r="B46">
        <v>95.666666666666671</v>
      </c>
      <c r="C46">
        <f t="shared" si="0"/>
        <v>7.7731881336838171</v>
      </c>
    </row>
    <row r="47" spans="1:3" x14ac:dyDescent="0.3">
      <c r="A47" t="s">
        <v>107</v>
      </c>
      <c r="B47">
        <v>98.733333333333334</v>
      </c>
      <c r="C47">
        <f t="shared" si="0"/>
        <v>9.9072356215213375</v>
      </c>
    </row>
    <row r="48" spans="1:3" x14ac:dyDescent="0.3">
      <c r="A48" t="s">
        <v>106</v>
      </c>
      <c r="B48">
        <v>102.06666666666668</v>
      </c>
      <c r="C48">
        <f t="shared" si="0"/>
        <v>10.025152712899764</v>
      </c>
    </row>
    <row r="49" spans="1:3" x14ac:dyDescent="0.3">
      <c r="A49" t="s">
        <v>105</v>
      </c>
      <c r="B49">
        <v>104.16666666666667</v>
      </c>
      <c r="C49">
        <f t="shared" si="0"/>
        <v>9.7646645591851211</v>
      </c>
    </row>
    <row r="50" spans="1:3" x14ac:dyDescent="0.3">
      <c r="A50" t="s">
        <v>104</v>
      </c>
      <c r="B50">
        <v>105.13333333333333</v>
      </c>
      <c r="C50">
        <f t="shared" si="0"/>
        <v>9.8954703832752511</v>
      </c>
    </row>
    <row r="51" spans="1:3" x14ac:dyDescent="0.3">
      <c r="A51" t="s">
        <v>103</v>
      </c>
      <c r="B51">
        <v>107.43333333333334</v>
      </c>
      <c r="C51">
        <f t="shared" si="0"/>
        <v>8.8116137744767009</v>
      </c>
    </row>
    <row r="52" spans="1:3" x14ac:dyDescent="0.3">
      <c r="A52" t="s">
        <v>102</v>
      </c>
      <c r="B52">
        <v>112.36666666666667</v>
      </c>
      <c r="C52">
        <f t="shared" si="0"/>
        <v>10.091443500979747</v>
      </c>
    </row>
    <row r="53" spans="1:3" x14ac:dyDescent="0.3">
      <c r="A53" t="s">
        <v>101</v>
      </c>
      <c r="B53">
        <v>115.2</v>
      </c>
      <c r="C53">
        <f t="shared" si="0"/>
        <v>10.592000000000002</v>
      </c>
    </row>
    <row r="54" spans="1:3" x14ac:dyDescent="0.3">
      <c r="A54" t="s">
        <v>100</v>
      </c>
      <c r="B54">
        <v>113.8</v>
      </c>
      <c r="C54">
        <f t="shared" si="0"/>
        <v>8.2435003170577161</v>
      </c>
    </row>
    <row r="55" spans="1:3" x14ac:dyDescent="0.3">
      <c r="A55" t="s">
        <v>99</v>
      </c>
      <c r="B55">
        <v>115.86666666666666</v>
      </c>
      <c r="C55">
        <f t="shared" si="0"/>
        <v>7.8498293515358197</v>
      </c>
    </row>
    <row r="56" spans="1:3" x14ac:dyDescent="0.3">
      <c r="A56" t="s">
        <v>98</v>
      </c>
      <c r="B56">
        <v>119.86666666666667</v>
      </c>
      <c r="C56">
        <f t="shared" si="0"/>
        <v>6.6745772767724754</v>
      </c>
    </row>
    <row r="57" spans="1:3" x14ac:dyDescent="0.3">
      <c r="A57" t="s">
        <v>97</v>
      </c>
      <c r="B57">
        <v>119.86666666666667</v>
      </c>
      <c r="C57">
        <f t="shared" si="0"/>
        <v>4.05092592592593</v>
      </c>
    </row>
    <row r="58" spans="1:3" x14ac:dyDescent="0.3">
      <c r="A58" t="s">
        <v>96</v>
      </c>
      <c r="B58">
        <v>119.8</v>
      </c>
      <c r="C58">
        <f t="shared" si="0"/>
        <v>5.2724077328646812</v>
      </c>
    </row>
    <row r="59" spans="1:3" x14ac:dyDescent="0.3">
      <c r="A59" t="s">
        <v>95</v>
      </c>
      <c r="B59">
        <v>121.76666666666667</v>
      </c>
      <c r="C59">
        <f t="shared" si="0"/>
        <v>5.0920598388952909</v>
      </c>
    </row>
    <row r="60" spans="1:3" x14ac:dyDescent="0.3">
      <c r="A60" t="s">
        <v>94</v>
      </c>
      <c r="B60">
        <v>124.59999999999998</v>
      </c>
      <c r="C60">
        <f t="shared" si="0"/>
        <v>3.9488320355950846</v>
      </c>
    </row>
    <row r="61" spans="1:3" x14ac:dyDescent="0.3">
      <c r="A61" t="s">
        <v>93</v>
      </c>
      <c r="B61">
        <v>126.26666666666665</v>
      </c>
      <c r="C61">
        <f t="shared" si="0"/>
        <v>5.3392658509454849</v>
      </c>
    </row>
    <row r="62" spans="1:3" x14ac:dyDescent="0.3">
      <c r="A62" t="s">
        <v>92</v>
      </c>
      <c r="B62">
        <v>126.10000000000001</v>
      </c>
      <c r="C62">
        <f t="shared" si="0"/>
        <v>5.258764607679467</v>
      </c>
    </row>
    <row r="63" spans="1:3" x14ac:dyDescent="0.3">
      <c r="A63" t="s">
        <v>91</v>
      </c>
      <c r="B63">
        <v>128.66666666666666</v>
      </c>
      <c r="C63">
        <f t="shared" si="0"/>
        <v>5.6665754174650917</v>
      </c>
    </row>
    <row r="64" spans="1:3" x14ac:dyDescent="0.3">
      <c r="A64" t="s">
        <v>90</v>
      </c>
      <c r="B64">
        <v>131.03333333333333</v>
      </c>
      <c r="C64">
        <f t="shared" si="0"/>
        <v>5.1631888710540474</v>
      </c>
    </row>
    <row r="65" spans="1:3" x14ac:dyDescent="0.3">
      <c r="A65" t="s">
        <v>89</v>
      </c>
      <c r="B65">
        <v>131</v>
      </c>
      <c r="C65">
        <f t="shared" si="0"/>
        <v>3.7486800422386501</v>
      </c>
    </row>
    <row r="66" spans="1:3" x14ac:dyDescent="0.3">
      <c r="A66" t="s">
        <v>88</v>
      </c>
      <c r="B66">
        <v>130.6</v>
      </c>
      <c r="C66">
        <f t="shared" si="0"/>
        <v>3.5685963521014941</v>
      </c>
    </row>
    <row r="67" spans="1:3" x14ac:dyDescent="0.3">
      <c r="A67" t="s">
        <v>87</v>
      </c>
      <c r="B67">
        <v>131.5</v>
      </c>
      <c r="C67">
        <f t="shared" si="0"/>
        <v>2.2020725388601115</v>
      </c>
    </row>
    <row r="68" spans="1:3" x14ac:dyDescent="0.3">
      <c r="A68" t="s">
        <v>86</v>
      </c>
      <c r="B68">
        <v>134.93333333333334</v>
      </c>
      <c r="C68">
        <f t="shared" si="0"/>
        <v>2.9763418977359457</v>
      </c>
    </row>
    <row r="69" spans="1:3" x14ac:dyDescent="0.3">
      <c r="A69" t="s">
        <v>85</v>
      </c>
      <c r="B69">
        <v>136.96666666666667</v>
      </c>
      <c r="C69">
        <f t="shared" si="0"/>
        <v>4.5547073791348591</v>
      </c>
    </row>
    <row r="70" spans="1:3" x14ac:dyDescent="0.3">
      <c r="A70" t="s">
        <v>84</v>
      </c>
      <c r="B70">
        <v>136.6</v>
      </c>
      <c r="C70">
        <f t="shared" si="0"/>
        <v>4.5941807044410421</v>
      </c>
    </row>
    <row r="71" spans="1:3" x14ac:dyDescent="0.3">
      <c r="A71" t="s">
        <v>83</v>
      </c>
      <c r="B71">
        <v>137.79999999999998</v>
      </c>
      <c r="C71">
        <f t="shared" ref="C71:C99" si="1">100*(B71/B67 - 1)</f>
        <v>4.7908745247148055</v>
      </c>
    </row>
    <row r="72" spans="1:3" x14ac:dyDescent="0.3">
      <c r="A72" t="s">
        <v>82</v>
      </c>
      <c r="B72">
        <v>140.13333333333335</v>
      </c>
      <c r="C72">
        <f t="shared" si="1"/>
        <v>3.8537549407114735</v>
      </c>
    </row>
    <row r="73" spans="1:3" x14ac:dyDescent="0.3">
      <c r="A73" t="s">
        <v>81</v>
      </c>
      <c r="B73">
        <v>140.53333333333333</v>
      </c>
      <c r="C73">
        <f t="shared" si="1"/>
        <v>2.6040399123874458</v>
      </c>
    </row>
    <row r="74" spans="1:3" x14ac:dyDescent="0.3">
      <c r="A74" t="s">
        <v>80</v>
      </c>
      <c r="B74">
        <v>139.96666666666667</v>
      </c>
      <c r="C74">
        <f t="shared" si="1"/>
        <v>2.4646168862860085</v>
      </c>
    </row>
    <row r="75" spans="1:3" x14ac:dyDescent="0.3">
      <c r="A75" t="s">
        <v>79</v>
      </c>
      <c r="B75">
        <v>142.03333333333333</v>
      </c>
      <c r="C75">
        <f t="shared" si="1"/>
        <v>3.0720851475568578</v>
      </c>
    </row>
    <row r="76" spans="1:3" x14ac:dyDescent="0.3">
      <c r="A76" t="s">
        <v>78</v>
      </c>
      <c r="B76">
        <v>145</v>
      </c>
      <c r="C76">
        <f t="shared" si="1"/>
        <v>3.4728829686013096</v>
      </c>
    </row>
    <row r="77" spans="1:3" x14ac:dyDescent="0.3">
      <c r="A77" t="s">
        <v>77</v>
      </c>
      <c r="B77">
        <v>148.73333333333332</v>
      </c>
      <c r="C77">
        <f t="shared" si="1"/>
        <v>5.8349146110056926</v>
      </c>
    </row>
    <row r="78" spans="1:3" x14ac:dyDescent="0.3">
      <c r="A78" t="s">
        <v>76</v>
      </c>
      <c r="B78">
        <v>149.29999999999998</v>
      </c>
      <c r="C78">
        <f t="shared" si="1"/>
        <v>6.6682543462729171</v>
      </c>
    </row>
    <row r="79" spans="1:3" x14ac:dyDescent="0.3">
      <c r="A79" t="s">
        <v>75</v>
      </c>
      <c r="B79">
        <v>151.36666666666667</v>
      </c>
      <c r="C79">
        <f t="shared" si="1"/>
        <v>6.5712274114057889</v>
      </c>
    </row>
    <row r="80" spans="1:3" x14ac:dyDescent="0.3">
      <c r="A80" t="s">
        <v>74</v>
      </c>
      <c r="B80">
        <v>155</v>
      </c>
      <c r="C80">
        <f t="shared" si="1"/>
        <v>6.8965517241379226</v>
      </c>
    </row>
    <row r="81" spans="1:3" x14ac:dyDescent="0.3">
      <c r="A81" t="s">
        <v>73</v>
      </c>
      <c r="B81">
        <v>158.20000000000002</v>
      </c>
      <c r="C81">
        <f t="shared" si="1"/>
        <v>6.3648588077095614</v>
      </c>
    </row>
    <row r="82" spans="1:3" x14ac:dyDescent="0.3">
      <c r="A82" t="s">
        <v>72</v>
      </c>
      <c r="B82">
        <v>156.56666666666666</v>
      </c>
      <c r="C82">
        <f t="shared" si="1"/>
        <v>4.8671578477338828</v>
      </c>
    </row>
    <row r="83" spans="1:3" x14ac:dyDescent="0.3">
      <c r="A83" t="s">
        <v>71</v>
      </c>
      <c r="B83">
        <v>159.83333333333334</v>
      </c>
      <c r="C83">
        <f t="shared" si="1"/>
        <v>5.5934816119797448</v>
      </c>
    </row>
    <row r="84" spans="1:3" x14ac:dyDescent="0.3">
      <c r="A84" t="s">
        <v>70</v>
      </c>
      <c r="B84">
        <v>162.86666666666665</v>
      </c>
      <c r="C84">
        <f t="shared" si="1"/>
        <v>5.0752688172042815</v>
      </c>
    </row>
    <row r="85" spans="1:3" x14ac:dyDescent="0.3">
      <c r="A85" t="s">
        <v>69</v>
      </c>
      <c r="B85">
        <v>166.13333333333333</v>
      </c>
      <c r="C85">
        <f t="shared" si="1"/>
        <v>5.0147492625368661</v>
      </c>
    </row>
    <row r="86" spans="1:3" x14ac:dyDescent="0.3">
      <c r="A86" t="s">
        <v>68</v>
      </c>
      <c r="B86">
        <v>166.49999999999997</v>
      </c>
      <c r="C86">
        <f t="shared" si="1"/>
        <v>6.3444751969341961</v>
      </c>
    </row>
    <row r="87" spans="1:3" x14ac:dyDescent="0.3">
      <c r="A87" t="s">
        <v>67</v>
      </c>
      <c r="B87">
        <v>171.46666666666667</v>
      </c>
      <c r="C87">
        <f t="shared" si="1"/>
        <v>7.2784150156412819</v>
      </c>
    </row>
    <row r="88" spans="1:3" x14ac:dyDescent="0.3">
      <c r="A88" t="s">
        <v>66</v>
      </c>
      <c r="B88">
        <v>174.33333333333334</v>
      </c>
      <c r="C88">
        <f t="shared" si="1"/>
        <v>7.0405239459681024</v>
      </c>
    </row>
    <row r="89" spans="1:3" x14ac:dyDescent="0.3">
      <c r="A89" t="s">
        <v>65</v>
      </c>
      <c r="B89">
        <v>176.29999999999998</v>
      </c>
      <c r="C89">
        <f t="shared" si="1"/>
        <v>6.1195826645264795</v>
      </c>
    </row>
    <row r="90" spans="1:3" x14ac:dyDescent="0.3">
      <c r="A90" t="s">
        <v>64</v>
      </c>
      <c r="B90">
        <v>176.83333333333334</v>
      </c>
      <c r="C90">
        <f t="shared" si="1"/>
        <v>6.2062062062062218</v>
      </c>
    </row>
    <row r="91" spans="1:3" x14ac:dyDescent="0.3">
      <c r="A91" t="s">
        <v>63</v>
      </c>
      <c r="B91">
        <v>179.4</v>
      </c>
      <c r="C91">
        <f t="shared" si="1"/>
        <v>4.6267496111975115</v>
      </c>
    </row>
    <row r="92" spans="1:3" x14ac:dyDescent="0.3">
      <c r="A92" t="s">
        <v>62</v>
      </c>
      <c r="B92">
        <v>185.53333333333333</v>
      </c>
      <c r="C92">
        <f t="shared" si="1"/>
        <v>6.42447418738048</v>
      </c>
    </row>
    <row r="93" spans="1:3" x14ac:dyDescent="0.3">
      <c r="A93" t="s">
        <v>61</v>
      </c>
      <c r="B93">
        <v>185.76666666666665</v>
      </c>
      <c r="C93">
        <f t="shared" si="1"/>
        <v>5.3696350916997648</v>
      </c>
    </row>
    <row r="94" spans="1:3" x14ac:dyDescent="0.3">
      <c r="A94" t="s">
        <v>60</v>
      </c>
      <c r="B94">
        <v>185.70000000000002</v>
      </c>
      <c r="C94">
        <f t="shared" si="1"/>
        <v>5.0141376060320431</v>
      </c>
    </row>
    <row r="95" spans="1:3" x14ac:dyDescent="0.3">
      <c r="A95" t="s">
        <v>59</v>
      </c>
      <c r="B95">
        <v>188.19999999999996</v>
      </c>
      <c r="C95">
        <f t="shared" si="1"/>
        <v>4.9052396878483506</v>
      </c>
    </row>
    <row r="96" spans="1:3" x14ac:dyDescent="0.3">
      <c r="A96" t="s">
        <v>58</v>
      </c>
      <c r="B96">
        <v>193.4</v>
      </c>
      <c r="C96">
        <f t="shared" si="1"/>
        <v>4.2400287459576136</v>
      </c>
    </row>
    <row r="97" spans="1:3" x14ac:dyDescent="0.3">
      <c r="A97" t="s">
        <v>57</v>
      </c>
      <c r="B97">
        <v>196.23333333333335</v>
      </c>
      <c r="C97">
        <f t="shared" si="1"/>
        <v>5.6343082720258453</v>
      </c>
    </row>
    <row r="98" spans="1:3" x14ac:dyDescent="0.3">
      <c r="A98" t="s">
        <v>56</v>
      </c>
      <c r="B98">
        <v>192.63333333333333</v>
      </c>
      <c r="C98">
        <f t="shared" si="1"/>
        <v>3.7336205349129292</v>
      </c>
    </row>
    <row r="99" spans="1:3" x14ac:dyDescent="0.3">
      <c r="A99" t="s">
        <v>55</v>
      </c>
      <c r="B99">
        <v>193.26666666666665</v>
      </c>
      <c r="C99">
        <f t="shared" si="1"/>
        <v>2.6921714488133297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Monthly Inflation</vt:lpstr>
      <vt:lpstr>Quarterly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Radheshyam Verma</dc:creator>
  <cp:lastModifiedBy>Amit Pawar</cp:lastModifiedBy>
  <dcterms:created xsi:type="dcterms:W3CDTF">2025-05-02T06:21:40Z</dcterms:created>
  <dcterms:modified xsi:type="dcterms:W3CDTF">2025-09-15T09:17:21Z</dcterms:modified>
</cp:coreProperties>
</file>