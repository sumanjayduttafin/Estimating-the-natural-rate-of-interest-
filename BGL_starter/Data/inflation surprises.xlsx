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8"/>
  <workbookPr/>
  <mc:AlternateContent xmlns:mc="http://schemas.openxmlformats.org/markup-compatibility/2006">
    <mc:Choice Requires="x15">
      <x15ac:absPath xmlns:x15ac="http://schemas.microsoft.com/office/spreadsheetml/2010/11/ac" url="/Users/rbi/Desktop/Projects/Inflation Expectations from Yield Curve/Data/"/>
    </mc:Choice>
  </mc:AlternateContent>
  <xr:revisionPtr revIDLastSave="0" documentId="13_ncr:1_{3BE6498B-2B7E-3643-9DE5-A3AB4E25D9A8}" xr6:coauthVersionLast="47" xr6:coauthVersionMax="47" xr10:uidLastSave="{00000000-0000-0000-0000-000000000000}"/>
  <bookViews>
    <workbookView xWindow="0" yWindow="800" windowWidth="28800" windowHeight="12220" activeTab="1" xr2:uid="{00000000-000D-0000-FFFF-FFFF00000000}"/>
  </bookViews>
  <sheets>
    <sheet name="Sheet1" sheetId="1" r:id="rId1"/>
    <sheet name="Sheet2" sheetId="2" r:id="rId2"/>
  </sheets>
  <definedNames>
    <definedName name="SpreadsheetBuilder_1" hidden="1">Sheet1!$A$1:$C$7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2" l="1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3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2" i="2"/>
  <c r="A7" i="1"/>
  <c r="B5" i="1"/>
  <c r="C5" i="1"/>
</calcChain>
</file>

<file path=xl/sharedStrings.xml><?xml version="1.0" encoding="utf-8"?>
<sst xmlns="http://schemas.openxmlformats.org/spreadsheetml/2006/main" count="25" uniqueCount="13">
  <si>
    <t>Start Date</t>
  </si>
  <si>
    <t>End Date</t>
  </si>
  <si>
    <t>INFUTOTY Index</t>
  </si>
  <si>
    <t>Dates</t>
  </si>
  <si>
    <t>PX_LAST</t>
  </si>
  <si>
    <t>BN_SURVEY_AVERAGE</t>
  </si>
  <si>
    <t>#N/A N/A</t>
  </si>
  <si>
    <t>Date</t>
  </si>
  <si>
    <t>Actual</t>
  </si>
  <si>
    <t>Expected</t>
  </si>
  <si>
    <t>Surprise</t>
  </si>
  <si>
    <t>Model-Implied inflation expectations</t>
  </si>
  <si>
    <t>Dates dropped as Bloomberg survye not available.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</si>
</sst>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64" fontId="0" fillId="0" borderId="0" xfId="0" applyNumberFormat="1"/>
    <xf numFmtId="2" fontId="0" fillId="0" borderId="0" xfId="0" applyNumberFormat="1"/>
    <xf numFmtId="1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4"/>
  <sheetViews>
    <sheetView topLeftCell="A6" workbookViewId="0">
      <selection activeCell="A18" sqref="A18:C164"/>
    </sheetView>
  </sheetViews>
  <sheetFormatPr baseColWidth="10" defaultColWidth="8.83203125" defaultRowHeight="15" x14ac:dyDescent="0.2"/>
  <cols>
    <col min="1" max="1" width="12.5" customWidth="1"/>
    <col min="2" max="2" width="14.83203125" customWidth="1"/>
  </cols>
  <sheetData>
    <row r="1" spans="1:3" x14ac:dyDescent="0.2">
      <c r="A1" t="s">
        <v>0</v>
      </c>
      <c r="B1" s="1">
        <v>40909</v>
      </c>
    </row>
    <row r="2" spans="1:3" x14ac:dyDescent="0.2">
      <c r="A2" t="s">
        <v>1</v>
      </c>
    </row>
    <row r="4" spans="1:3" x14ac:dyDescent="0.2">
      <c r="B4" t="s">
        <v>2</v>
      </c>
    </row>
    <row r="5" spans="1:3" x14ac:dyDescent="0.2">
      <c r="B5" t="e">
        <f ca="1">_xll.BFieldInfo(B$6)</f>
        <v>#NAME?</v>
      </c>
      <c r="C5" t="e">
        <f ca="1">_xll.BFieldInfo(C$6)</f>
        <v>#NAME?</v>
      </c>
    </row>
    <row r="6" spans="1:3" x14ac:dyDescent="0.2">
      <c r="A6" t="s">
        <v>3</v>
      </c>
      <c r="B6" t="s">
        <v>4</v>
      </c>
      <c r="C6" t="s">
        <v>5</v>
      </c>
    </row>
    <row r="7" spans="1:3" x14ac:dyDescent="0.2">
      <c r="A7" s="2" t="e">
        <f ca="1">_xll.BDH(B$4,B$6:C$6,$B1,$B2,"Dir=V","Per=M","Dts=S","cols=3;rows=158")</f>
        <v>#NAME?</v>
      </c>
      <c r="B7" t="s">
        <v>6</v>
      </c>
      <c r="C7">
        <v>10.57</v>
      </c>
    </row>
    <row r="8" spans="1:3" x14ac:dyDescent="0.2">
      <c r="A8" s="2">
        <v>41364</v>
      </c>
      <c r="B8" t="s">
        <v>6</v>
      </c>
      <c r="C8">
        <v>10.68</v>
      </c>
    </row>
    <row r="9" spans="1:3" x14ac:dyDescent="0.2">
      <c r="A9" s="2">
        <v>41394</v>
      </c>
      <c r="B9" t="s">
        <v>6</v>
      </c>
      <c r="C9">
        <v>9.73</v>
      </c>
    </row>
    <row r="10" spans="1:3" x14ac:dyDescent="0.2">
      <c r="A10" s="2">
        <v>41425</v>
      </c>
      <c r="B10" t="s">
        <v>6</v>
      </c>
      <c r="C10">
        <v>8.98</v>
      </c>
    </row>
    <row r="11" spans="1:3" x14ac:dyDescent="0.2">
      <c r="A11" s="2">
        <v>41455</v>
      </c>
      <c r="B11" t="s">
        <v>6</v>
      </c>
      <c r="C11">
        <v>9.2899999999999991</v>
      </c>
    </row>
    <row r="12" spans="1:3" x14ac:dyDescent="0.2">
      <c r="A12" s="2">
        <v>41486</v>
      </c>
      <c r="B12" t="s">
        <v>6</v>
      </c>
      <c r="C12">
        <v>9.69</v>
      </c>
    </row>
    <row r="13" spans="1:3" x14ac:dyDescent="0.2">
      <c r="A13" s="2">
        <v>41517</v>
      </c>
      <c r="B13" t="s">
        <v>6</v>
      </c>
      <c r="C13">
        <v>9.59</v>
      </c>
    </row>
    <row r="14" spans="1:3" x14ac:dyDescent="0.2">
      <c r="A14" s="2">
        <v>41547</v>
      </c>
      <c r="B14" t="s">
        <v>6</v>
      </c>
      <c r="C14">
        <v>9.49</v>
      </c>
    </row>
    <row r="15" spans="1:3" x14ac:dyDescent="0.2">
      <c r="A15" s="2">
        <v>41578</v>
      </c>
      <c r="B15" t="s">
        <v>6</v>
      </c>
      <c r="C15">
        <v>9.8800000000000008</v>
      </c>
    </row>
    <row r="16" spans="1:3" x14ac:dyDescent="0.2">
      <c r="A16" s="2">
        <v>41608</v>
      </c>
      <c r="B16" t="s">
        <v>6</v>
      </c>
      <c r="C16">
        <v>10.050000000000001</v>
      </c>
    </row>
    <row r="17" spans="1:3" x14ac:dyDescent="0.2">
      <c r="A17" s="2">
        <v>41639</v>
      </c>
      <c r="B17" t="s">
        <v>6</v>
      </c>
      <c r="C17">
        <v>10.130000000000001</v>
      </c>
    </row>
    <row r="18" spans="1:3" x14ac:dyDescent="0.2">
      <c r="A18" s="2">
        <v>41670</v>
      </c>
      <c r="B18">
        <v>8.6</v>
      </c>
      <c r="C18">
        <v>9.23</v>
      </c>
    </row>
    <row r="19" spans="1:3" x14ac:dyDescent="0.2">
      <c r="A19" s="2">
        <v>41698</v>
      </c>
      <c r="B19">
        <v>7.88</v>
      </c>
      <c r="C19">
        <v>8.3000000000000007</v>
      </c>
    </row>
    <row r="20" spans="1:3" x14ac:dyDescent="0.2">
      <c r="A20" s="2">
        <v>41729</v>
      </c>
      <c r="B20">
        <v>8.25</v>
      </c>
      <c r="C20">
        <v>8.24</v>
      </c>
    </row>
    <row r="21" spans="1:3" x14ac:dyDescent="0.2">
      <c r="A21" s="2">
        <v>41759</v>
      </c>
      <c r="B21">
        <v>8.48</v>
      </c>
      <c r="C21">
        <v>8.52</v>
      </c>
    </row>
    <row r="22" spans="1:3" x14ac:dyDescent="0.2">
      <c r="A22" s="2">
        <v>41790</v>
      </c>
      <c r="B22">
        <v>8.33</v>
      </c>
      <c r="C22">
        <v>8.42</v>
      </c>
    </row>
    <row r="23" spans="1:3" x14ac:dyDescent="0.2">
      <c r="A23" s="2">
        <v>41820</v>
      </c>
      <c r="B23">
        <v>6.77</v>
      </c>
      <c r="C23">
        <v>7.76</v>
      </c>
    </row>
    <row r="24" spans="1:3" x14ac:dyDescent="0.2">
      <c r="A24" s="2">
        <v>41851</v>
      </c>
      <c r="B24">
        <v>7.39</v>
      </c>
      <c r="C24">
        <v>7.51</v>
      </c>
    </row>
    <row r="25" spans="1:3" x14ac:dyDescent="0.2">
      <c r="A25" s="2">
        <v>41882</v>
      </c>
      <c r="B25">
        <v>7.03</v>
      </c>
      <c r="C25">
        <v>7.82</v>
      </c>
    </row>
    <row r="26" spans="1:3" x14ac:dyDescent="0.2">
      <c r="A26" s="2">
        <v>41912</v>
      </c>
      <c r="B26">
        <v>5.63</v>
      </c>
      <c r="C26">
        <v>7.18</v>
      </c>
    </row>
    <row r="27" spans="1:3" x14ac:dyDescent="0.2">
      <c r="A27" s="2">
        <v>41943</v>
      </c>
      <c r="B27">
        <v>4.62</v>
      </c>
      <c r="C27">
        <v>5.71</v>
      </c>
    </row>
    <row r="28" spans="1:3" x14ac:dyDescent="0.2">
      <c r="A28" s="2">
        <v>41973</v>
      </c>
      <c r="B28">
        <v>3.27</v>
      </c>
      <c r="C28">
        <v>4.46</v>
      </c>
    </row>
    <row r="29" spans="1:3" x14ac:dyDescent="0.2">
      <c r="A29" s="2">
        <v>42004</v>
      </c>
      <c r="B29">
        <v>4.28</v>
      </c>
      <c r="C29">
        <v>5.32</v>
      </c>
    </row>
    <row r="30" spans="1:3" x14ac:dyDescent="0.2">
      <c r="A30" s="2">
        <v>42035</v>
      </c>
      <c r="B30">
        <v>5.19</v>
      </c>
      <c r="C30">
        <v>5.55</v>
      </c>
    </row>
    <row r="31" spans="1:3" x14ac:dyDescent="0.2">
      <c r="A31" s="2">
        <v>42063</v>
      </c>
      <c r="B31">
        <v>5.37</v>
      </c>
      <c r="C31">
        <v>5.24</v>
      </c>
    </row>
    <row r="32" spans="1:3" x14ac:dyDescent="0.2">
      <c r="A32" s="2">
        <v>42094</v>
      </c>
      <c r="B32">
        <v>5.25</v>
      </c>
      <c r="C32">
        <v>5.42</v>
      </c>
    </row>
    <row r="33" spans="1:3" x14ac:dyDescent="0.2">
      <c r="A33" s="2">
        <v>42124</v>
      </c>
      <c r="B33">
        <v>4.87</v>
      </c>
      <c r="C33">
        <v>4.93</v>
      </c>
    </row>
    <row r="34" spans="1:3" x14ac:dyDescent="0.2">
      <c r="A34" s="2">
        <v>42155</v>
      </c>
      <c r="B34">
        <v>5.01</v>
      </c>
      <c r="C34">
        <v>5</v>
      </c>
    </row>
    <row r="35" spans="1:3" x14ac:dyDescent="0.2">
      <c r="A35" s="2">
        <v>42185</v>
      </c>
      <c r="B35">
        <v>5.4</v>
      </c>
      <c r="C35">
        <v>5.09</v>
      </c>
    </row>
    <row r="36" spans="1:3" x14ac:dyDescent="0.2">
      <c r="A36" s="2">
        <v>42216</v>
      </c>
      <c r="B36">
        <v>3.69</v>
      </c>
      <c r="C36">
        <v>4.53</v>
      </c>
    </row>
    <row r="37" spans="1:3" x14ac:dyDescent="0.2">
      <c r="A37" s="2">
        <v>42247</v>
      </c>
      <c r="B37">
        <v>3.74</v>
      </c>
      <c r="C37">
        <v>3.56</v>
      </c>
    </row>
    <row r="38" spans="1:3" x14ac:dyDescent="0.2">
      <c r="A38" s="2">
        <v>42277</v>
      </c>
      <c r="B38">
        <v>4.41</v>
      </c>
      <c r="C38">
        <v>4.34</v>
      </c>
    </row>
    <row r="39" spans="1:3" x14ac:dyDescent="0.2">
      <c r="A39" s="2">
        <v>42308</v>
      </c>
      <c r="B39">
        <v>5</v>
      </c>
      <c r="C39">
        <v>4.8899999999999997</v>
      </c>
    </row>
    <row r="40" spans="1:3" x14ac:dyDescent="0.2">
      <c r="A40" s="2">
        <v>42338</v>
      </c>
      <c r="B40">
        <v>5.41</v>
      </c>
      <c r="C40">
        <v>5.34</v>
      </c>
    </row>
    <row r="41" spans="1:3" x14ac:dyDescent="0.2">
      <c r="A41" s="2">
        <v>42369</v>
      </c>
      <c r="B41">
        <v>5.61</v>
      </c>
      <c r="C41">
        <v>5.51</v>
      </c>
    </row>
    <row r="42" spans="1:3" x14ac:dyDescent="0.2">
      <c r="A42" s="2">
        <v>42400</v>
      </c>
      <c r="B42">
        <v>5.69</v>
      </c>
      <c r="C42">
        <v>5.43</v>
      </c>
    </row>
    <row r="43" spans="1:3" x14ac:dyDescent="0.2">
      <c r="A43" s="2">
        <v>42429</v>
      </c>
      <c r="B43">
        <v>5.26</v>
      </c>
      <c r="C43">
        <v>5.54</v>
      </c>
    </row>
    <row r="44" spans="1:3" x14ac:dyDescent="0.2">
      <c r="A44" s="2">
        <v>42460</v>
      </c>
      <c r="B44">
        <v>4.83</v>
      </c>
      <c r="C44">
        <v>5</v>
      </c>
    </row>
    <row r="45" spans="1:3" x14ac:dyDescent="0.2">
      <c r="A45" s="2">
        <v>42490</v>
      </c>
      <c r="B45">
        <v>5.47</v>
      </c>
      <c r="C45">
        <v>5.0599999999999996</v>
      </c>
    </row>
    <row r="46" spans="1:3" x14ac:dyDescent="0.2">
      <c r="A46" s="2">
        <v>42521</v>
      </c>
      <c r="B46">
        <v>5.76</v>
      </c>
      <c r="C46">
        <v>5.57</v>
      </c>
    </row>
    <row r="47" spans="1:3" x14ac:dyDescent="0.2">
      <c r="A47" s="2">
        <v>42551</v>
      </c>
      <c r="B47">
        <v>5.77</v>
      </c>
      <c r="C47">
        <v>5.77</v>
      </c>
    </row>
    <row r="48" spans="1:3" x14ac:dyDescent="0.2">
      <c r="A48" s="2">
        <v>42582</v>
      </c>
      <c r="B48">
        <v>6.07</v>
      </c>
      <c r="C48">
        <v>5.95</v>
      </c>
    </row>
    <row r="49" spans="1:3" x14ac:dyDescent="0.2">
      <c r="A49" s="2">
        <v>42613</v>
      </c>
      <c r="B49">
        <v>5.05</v>
      </c>
      <c r="C49">
        <v>5.32</v>
      </c>
    </row>
    <row r="50" spans="1:3" x14ac:dyDescent="0.2">
      <c r="A50" s="2">
        <v>42643</v>
      </c>
      <c r="B50">
        <v>4.3899999999999997</v>
      </c>
      <c r="C50">
        <v>4.66</v>
      </c>
    </row>
    <row r="51" spans="1:3" x14ac:dyDescent="0.2">
      <c r="A51" s="2">
        <v>42674</v>
      </c>
      <c r="B51">
        <v>4.2</v>
      </c>
      <c r="C51">
        <v>4.18</v>
      </c>
    </row>
    <row r="52" spans="1:3" x14ac:dyDescent="0.2">
      <c r="A52" s="2">
        <v>42704</v>
      </c>
      <c r="B52">
        <v>3.63</v>
      </c>
      <c r="C52">
        <v>3.89</v>
      </c>
    </row>
    <row r="53" spans="1:3" x14ac:dyDescent="0.2">
      <c r="A53" s="2">
        <v>42735</v>
      </c>
      <c r="B53">
        <v>3.41</v>
      </c>
      <c r="C53">
        <v>3.52</v>
      </c>
    </row>
    <row r="54" spans="1:3" x14ac:dyDescent="0.2">
      <c r="A54" s="2">
        <v>42766</v>
      </c>
      <c r="B54">
        <v>3.17</v>
      </c>
      <c r="C54">
        <v>3.24</v>
      </c>
    </row>
    <row r="55" spans="1:3" x14ac:dyDescent="0.2">
      <c r="A55" s="2">
        <v>42794</v>
      </c>
      <c r="B55">
        <v>3.65</v>
      </c>
      <c r="C55">
        <v>3.57</v>
      </c>
    </row>
    <row r="56" spans="1:3" x14ac:dyDescent="0.2">
      <c r="A56" s="2">
        <v>42825</v>
      </c>
      <c r="B56">
        <v>3.89</v>
      </c>
      <c r="C56">
        <v>3.95</v>
      </c>
    </row>
    <row r="57" spans="1:3" x14ac:dyDescent="0.2">
      <c r="A57" s="2">
        <v>42855</v>
      </c>
      <c r="B57">
        <v>2.99</v>
      </c>
      <c r="C57">
        <v>3.33</v>
      </c>
    </row>
    <row r="58" spans="1:3" x14ac:dyDescent="0.2">
      <c r="A58" s="2">
        <v>42886</v>
      </c>
      <c r="B58">
        <v>2.1800000000000002</v>
      </c>
      <c r="C58">
        <v>2.46</v>
      </c>
    </row>
    <row r="59" spans="1:3" x14ac:dyDescent="0.2">
      <c r="A59" s="2">
        <v>42916</v>
      </c>
      <c r="B59">
        <v>1.46</v>
      </c>
      <c r="C59">
        <v>1.65</v>
      </c>
    </row>
    <row r="60" spans="1:3" x14ac:dyDescent="0.2">
      <c r="A60" s="2">
        <v>42947</v>
      </c>
      <c r="B60">
        <v>2.36</v>
      </c>
      <c r="C60">
        <v>2.09</v>
      </c>
    </row>
    <row r="61" spans="1:3" x14ac:dyDescent="0.2">
      <c r="A61" s="2">
        <v>42978</v>
      </c>
      <c r="B61">
        <v>3.28</v>
      </c>
      <c r="C61">
        <v>3.23</v>
      </c>
    </row>
    <row r="62" spans="1:3" x14ac:dyDescent="0.2">
      <c r="A62" s="2">
        <v>43008</v>
      </c>
      <c r="B62">
        <v>3.28</v>
      </c>
      <c r="C62">
        <v>3.59</v>
      </c>
    </row>
    <row r="63" spans="1:3" x14ac:dyDescent="0.2">
      <c r="A63" s="2">
        <v>43039</v>
      </c>
      <c r="B63">
        <v>3.58</v>
      </c>
      <c r="C63">
        <v>3.45</v>
      </c>
    </row>
    <row r="64" spans="1:3" x14ac:dyDescent="0.2">
      <c r="A64" s="2">
        <v>43069</v>
      </c>
      <c r="B64">
        <v>4.88</v>
      </c>
      <c r="C64">
        <v>4.29</v>
      </c>
    </row>
    <row r="65" spans="1:3" x14ac:dyDescent="0.2">
      <c r="A65" s="2">
        <v>43100</v>
      </c>
      <c r="B65">
        <v>5.21</v>
      </c>
      <c r="C65">
        <v>5.16</v>
      </c>
    </row>
    <row r="66" spans="1:3" x14ac:dyDescent="0.2">
      <c r="A66" s="2">
        <v>43131</v>
      </c>
      <c r="B66">
        <v>5.07</v>
      </c>
      <c r="C66">
        <v>5.09</v>
      </c>
    </row>
    <row r="67" spans="1:3" x14ac:dyDescent="0.2">
      <c r="A67" s="2">
        <v>43159</v>
      </c>
      <c r="B67">
        <v>4.4400000000000004</v>
      </c>
      <c r="C67">
        <v>4.76</v>
      </c>
    </row>
    <row r="68" spans="1:3" x14ac:dyDescent="0.2">
      <c r="A68" s="2">
        <v>43190</v>
      </c>
      <c r="B68">
        <v>4.28</v>
      </c>
      <c r="C68">
        <v>4.21</v>
      </c>
    </row>
    <row r="69" spans="1:3" x14ac:dyDescent="0.2">
      <c r="A69" s="2">
        <v>43220</v>
      </c>
      <c r="B69">
        <v>4.58</v>
      </c>
      <c r="C69">
        <v>4.45</v>
      </c>
    </row>
    <row r="70" spans="1:3" x14ac:dyDescent="0.2">
      <c r="A70" s="2">
        <v>43251</v>
      </c>
      <c r="B70">
        <v>4.87</v>
      </c>
      <c r="C70">
        <v>4.88</v>
      </c>
    </row>
    <row r="71" spans="1:3" x14ac:dyDescent="0.2">
      <c r="A71" s="2">
        <v>43281</v>
      </c>
      <c r="B71">
        <v>4.92</v>
      </c>
      <c r="C71">
        <v>5.26</v>
      </c>
    </row>
    <row r="72" spans="1:3" x14ac:dyDescent="0.2">
      <c r="A72" s="2">
        <v>43312</v>
      </c>
      <c r="B72">
        <v>4.17</v>
      </c>
      <c r="C72">
        <v>4.46</v>
      </c>
    </row>
    <row r="73" spans="1:3" x14ac:dyDescent="0.2">
      <c r="A73" s="2">
        <v>43343</v>
      </c>
      <c r="B73">
        <v>3.69</v>
      </c>
      <c r="C73">
        <v>3.83</v>
      </c>
    </row>
    <row r="74" spans="1:3" x14ac:dyDescent="0.2">
      <c r="A74" s="2">
        <v>43373</v>
      </c>
      <c r="B74">
        <v>3.7</v>
      </c>
      <c r="C74">
        <v>4.08</v>
      </c>
    </row>
    <row r="75" spans="1:3" x14ac:dyDescent="0.2">
      <c r="A75" s="2">
        <v>43404</v>
      </c>
      <c r="B75">
        <v>3.38</v>
      </c>
      <c r="C75">
        <v>3.66</v>
      </c>
    </row>
    <row r="76" spans="1:3" x14ac:dyDescent="0.2">
      <c r="A76" s="2">
        <v>43434</v>
      </c>
      <c r="B76">
        <v>2.33</v>
      </c>
      <c r="C76">
        <v>2.64</v>
      </c>
    </row>
    <row r="77" spans="1:3" x14ac:dyDescent="0.2">
      <c r="A77" s="2">
        <v>43465</v>
      </c>
      <c r="B77">
        <v>2.11</v>
      </c>
      <c r="C77">
        <v>2.21</v>
      </c>
    </row>
    <row r="78" spans="1:3" x14ac:dyDescent="0.2">
      <c r="A78" s="2">
        <v>43496</v>
      </c>
      <c r="B78">
        <v>1.97</v>
      </c>
      <c r="C78">
        <v>2.5099999999999998</v>
      </c>
    </row>
    <row r="79" spans="1:3" x14ac:dyDescent="0.2">
      <c r="A79" s="2">
        <v>43524</v>
      </c>
      <c r="B79">
        <v>2.57</v>
      </c>
      <c r="C79">
        <v>2.46</v>
      </c>
    </row>
    <row r="80" spans="1:3" x14ac:dyDescent="0.2">
      <c r="A80" s="2">
        <v>43555</v>
      </c>
      <c r="B80">
        <v>2.86</v>
      </c>
      <c r="C80">
        <v>2.85</v>
      </c>
    </row>
    <row r="81" spans="1:3" x14ac:dyDescent="0.2">
      <c r="A81" s="2">
        <v>43585</v>
      </c>
      <c r="B81">
        <v>2.99</v>
      </c>
      <c r="C81">
        <v>2.96</v>
      </c>
    </row>
    <row r="82" spans="1:3" x14ac:dyDescent="0.2">
      <c r="A82" s="2">
        <v>43616</v>
      </c>
      <c r="B82">
        <v>3.05</v>
      </c>
      <c r="C82">
        <v>3.07</v>
      </c>
    </row>
    <row r="83" spans="1:3" x14ac:dyDescent="0.2">
      <c r="A83" s="2">
        <v>43646</v>
      </c>
      <c r="B83">
        <v>3.18</v>
      </c>
      <c r="C83">
        <v>3.14</v>
      </c>
    </row>
    <row r="84" spans="1:3" x14ac:dyDescent="0.2">
      <c r="A84" s="2">
        <v>43677</v>
      </c>
      <c r="B84">
        <v>3.15</v>
      </c>
      <c r="C84">
        <v>3.1</v>
      </c>
    </row>
    <row r="85" spans="1:3" x14ac:dyDescent="0.2">
      <c r="A85" s="2">
        <v>43708</v>
      </c>
      <c r="B85">
        <v>3.28</v>
      </c>
      <c r="C85">
        <v>3.3</v>
      </c>
    </row>
    <row r="86" spans="1:3" x14ac:dyDescent="0.2">
      <c r="A86" s="2">
        <v>43738</v>
      </c>
      <c r="B86">
        <v>3.99</v>
      </c>
      <c r="C86">
        <v>3.74</v>
      </c>
    </row>
    <row r="87" spans="1:3" x14ac:dyDescent="0.2">
      <c r="A87" s="2">
        <v>43769</v>
      </c>
      <c r="B87">
        <v>4.62</v>
      </c>
      <c r="C87">
        <v>4.37</v>
      </c>
    </row>
    <row r="88" spans="1:3" x14ac:dyDescent="0.2">
      <c r="A88" s="2">
        <v>43799</v>
      </c>
      <c r="B88">
        <v>5.54</v>
      </c>
      <c r="C88">
        <v>5.21</v>
      </c>
    </row>
    <row r="89" spans="1:3" x14ac:dyDescent="0.2">
      <c r="A89" s="2">
        <v>43830</v>
      </c>
      <c r="B89">
        <v>7.35</v>
      </c>
      <c r="C89">
        <v>6.65</v>
      </c>
    </row>
    <row r="90" spans="1:3" x14ac:dyDescent="0.2">
      <c r="A90" s="2">
        <v>43861</v>
      </c>
      <c r="B90">
        <v>7.59</v>
      </c>
      <c r="C90">
        <v>7.36</v>
      </c>
    </row>
    <row r="91" spans="1:3" x14ac:dyDescent="0.2">
      <c r="A91" s="2">
        <v>43890</v>
      </c>
      <c r="B91">
        <v>6.58</v>
      </c>
      <c r="C91">
        <v>6.75</v>
      </c>
    </row>
    <row r="92" spans="1:3" x14ac:dyDescent="0.2">
      <c r="A92" s="2">
        <v>43921</v>
      </c>
      <c r="B92">
        <v>5.84</v>
      </c>
      <c r="C92">
        <v>5.89</v>
      </c>
    </row>
    <row r="93" spans="1:3" x14ac:dyDescent="0.2">
      <c r="A93" s="2">
        <v>43951</v>
      </c>
      <c r="B93">
        <v>7.22</v>
      </c>
      <c r="C93" t="s">
        <v>6</v>
      </c>
    </row>
    <row r="94" spans="1:3" x14ac:dyDescent="0.2">
      <c r="A94" s="2">
        <v>43982</v>
      </c>
      <c r="B94">
        <v>6.27</v>
      </c>
      <c r="C94" t="s">
        <v>6</v>
      </c>
    </row>
    <row r="95" spans="1:3" x14ac:dyDescent="0.2">
      <c r="A95" s="2">
        <v>44012</v>
      </c>
      <c r="B95">
        <v>6.23</v>
      </c>
      <c r="C95">
        <v>5.19</v>
      </c>
    </row>
    <row r="96" spans="1:3" x14ac:dyDescent="0.2">
      <c r="A96" s="2">
        <v>44043</v>
      </c>
      <c r="B96">
        <v>6.73</v>
      </c>
      <c r="C96">
        <v>6.16</v>
      </c>
    </row>
    <row r="97" spans="1:3" x14ac:dyDescent="0.2">
      <c r="A97" s="2">
        <v>44074</v>
      </c>
      <c r="B97">
        <v>6.69</v>
      </c>
      <c r="C97">
        <v>6.87</v>
      </c>
    </row>
    <row r="98" spans="1:3" x14ac:dyDescent="0.2">
      <c r="A98" s="2">
        <v>44104</v>
      </c>
      <c r="B98">
        <v>7.27</v>
      </c>
      <c r="C98">
        <v>6.87</v>
      </c>
    </row>
    <row r="99" spans="1:3" x14ac:dyDescent="0.2">
      <c r="A99" s="2">
        <v>44135</v>
      </c>
      <c r="B99">
        <v>7.61</v>
      </c>
      <c r="C99">
        <v>7.26</v>
      </c>
    </row>
    <row r="100" spans="1:3" x14ac:dyDescent="0.2">
      <c r="A100" s="2">
        <v>44165</v>
      </c>
      <c r="B100">
        <v>6.93</v>
      </c>
      <c r="C100">
        <v>7.14</v>
      </c>
    </row>
    <row r="101" spans="1:3" x14ac:dyDescent="0.2">
      <c r="A101" s="2">
        <v>44196</v>
      </c>
      <c r="B101">
        <v>4.59</v>
      </c>
      <c r="C101">
        <v>5.13</v>
      </c>
    </row>
    <row r="102" spans="1:3" x14ac:dyDescent="0.2">
      <c r="A102" s="2">
        <v>44227</v>
      </c>
      <c r="B102">
        <v>4.0599999999999996</v>
      </c>
      <c r="C102">
        <v>4.43</v>
      </c>
    </row>
    <row r="103" spans="1:3" x14ac:dyDescent="0.2">
      <c r="A103" s="2">
        <v>44255</v>
      </c>
      <c r="B103">
        <v>5.03</v>
      </c>
      <c r="C103">
        <v>4.92</v>
      </c>
    </row>
    <row r="104" spans="1:3" x14ac:dyDescent="0.2">
      <c r="A104" s="2">
        <v>44286</v>
      </c>
      <c r="B104">
        <v>5.52</v>
      </c>
      <c r="C104">
        <v>5.41</v>
      </c>
    </row>
    <row r="105" spans="1:3" x14ac:dyDescent="0.2">
      <c r="A105" s="2">
        <v>44316</v>
      </c>
      <c r="B105">
        <v>4.2300000000000004</v>
      </c>
      <c r="C105">
        <v>4.26</v>
      </c>
    </row>
    <row r="106" spans="1:3" x14ac:dyDescent="0.2">
      <c r="A106" s="2">
        <v>44347</v>
      </c>
      <c r="B106">
        <v>6.3</v>
      </c>
      <c r="C106">
        <v>5.37</v>
      </c>
    </row>
    <row r="107" spans="1:3" x14ac:dyDescent="0.2">
      <c r="A107" s="2">
        <v>44377</v>
      </c>
      <c r="B107">
        <v>6.26</v>
      </c>
      <c r="C107">
        <v>6.49</v>
      </c>
    </row>
    <row r="108" spans="1:3" x14ac:dyDescent="0.2">
      <c r="A108" s="2">
        <v>44408</v>
      </c>
      <c r="B108">
        <v>5.59</v>
      </c>
      <c r="C108">
        <v>5.73</v>
      </c>
    </row>
    <row r="109" spans="1:3" x14ac:dyDescent="0.2">
      <c r="A109" s="2">
        <v>44439</v>
      </c>
      <c r="B109">
        <v>5.3</v>
      </c>
      <c r="C109">
        <v>5.61</v>
      </c>
    </row>
    <row r="110" spans="1:3" x14ac:dyDescent="0.2">
      <c r="A110" s="2">
        <v>44469</v>
      </c>
      <c r="B110">
        <v>4.3499999999999996</v>
      </c>
      <c r="C110">
        <v>4.53</v>
      </c>
    </row>
    <row r="111" spans="1:3" x14ac:dyDescent="0.2">
      <c r="A111" s="2">
        <v>44500</v>
      </c>
      <c r="B111">
        <v>4.4800000000000004</v>
      </c>
      <c r="C111">
        <v>4.38</v>
      </c>
    </row>
    <row r="112" spans="1:3" x14ac:dyDescent="0.2">
      <c r="A112" s="2">
        <v>44530</v>
      </c>
      <c r="B112">
        <v>4.91</v>
      </c>
      <c r="C112">
        <v>5.05</v>
      </c>
    </row>
    <row r="113" spans="1:3" x14ac:dyDescent="0.2">
      <c r="A113" s="2">
        <v>44561</v>
      </c>
      <c r="B113">
        <v>5.66</v>
      </c>
      <c r="C113">
        <v>5.72</v>
      </c>
    </row>
    <row r="114" spans="1:3" x14ac:dyDescent="0.2">
      <c r="A114" s="2">
        <v>44592</v>
      </c>
      <c r="B114">
        <v>6.01</v>
      </c>
      <c r="C114">
        <v>6</v>
      </c>
    </row>
    <row r="115" spans="1:3" x14ac:dyDescent="0.2">
      <c r="A115" s="2">
        <v>44620</v>
      </c>
      <c r="B115">
        <v>6.07</v>
      </c>
      <c r="C115">
        <v>5.98</v>
      </c>
    </row>
    <row r="116" spans="1:3" x14ac:dyDescent="0.2">
      <c r="A116" s="2">
        <v>44651</v>
      </c>
      <c r="B116">
        <v>6.95</v>
      </c>
      <c r="C116">
        <v>6.38</v>
      </c>
    </row>
    <row r="117" spans="1:3" x14ac:dyDescent="0.2">
      <c r="A117" s="2">
        <v>44681</v>
      </c>
      <c r="B117">
        <v>7.79</v>
      </c>
      <c r="C117">
        <v>7.41</v>
      </c>
    </row>
    <row r="118" spans="1:3" x14ac:dyDescent="0.2">
      <c r="A118" s="2">
        <v>44712</v>
      </c>
      <c r="B118">
        <v>7.04</v>
      </c>
      <c r="C118">
        <v>7.13</v>
      </c>
    </row>
    <row r="119" spans="1:3" x14ac:dyDescent="0.2">
      <c r="A119" s="2">
        <v>44742</v>
      </c>
      <c r="B119">
        <v>7.01</v>
      </c>
      <c r="C119">
        <v>7.07</v>
      </c>
    </row>
    <row r="120" spans="1:3" x14ac:dyDescent="0.2">
      <c r="A120" s="2">
        <v>44773</v>
      </c>
      <c r="B120">
        <v>6.71</v>
      </c>
      <c r="C120">
        <v>6.74</v>
      </c>
    </row>
    <row r="121" spans="1:3" x14ac:dyDescent="0.2">
      <c r="A121" s="2">
        <v>44804</v>
      </c>
      <c r="B121">
        <v>7</v>
      </c>
      <c r="C121">
        <v>6.89</v>
      </c>
    </row>
    <row r="122" spans="1:3" x14ac:dyDescent="0.2">
      <c r="A122" s="2">
        <v>44834</v>
      </c>
      <c r="B122">
        <v>7.41</v>
      </c>
      <c r="C122">
        <v>7.32</v>
      </c>
    </row>
    <row r="123" spans="1:3" x14ac:dyDescent="0.2">
      <c r="A123" s="2">
        <v>44865</v>
      </c>
      <c r="B123">
        <v>6.77</v>
      </c>
      <c r="C123">
        <v>6.77</v>
      </c>
    </row>
    <row r="124" spans="1:3" x14ac:dyDescent="0.2">
      <c r="A124" s="2">
        <v>44895</v>
      </c>
      <c r="B124">
        <v>5.88</v>
      </c>
      <c r="C124">
        <v>6.34</v>
      </c>
    </row>
    <row r="125" spans="1:3" x14ac:dyDescent="0.2">
      <c r="A125" s="2">
        <v>44926</v>
      </c>
      <c r="B125">
        <v>5.72</v>
      </c>
      <c r="C125">
        <v>5.86</v>
      </c>
    </row>
    <row r="126" spans="1:3" x14ac:dyDescent="0.2">
      <c r="A126" s="2">
        <v>44957</v>
      </c>
      <c r="B126">
        <v>6.52</v>
      </c>
      <c r="C126">
        <v>5.99</v>
      </c>
    </row>
    <row r="127" spans="1:3" x14ac:dyDescent="0.2">
      <c r="A127" s="2">
        <v>44985</v>
      </c>
      <c r="B127">
        <v>6.44</v>
      </c>
      <c r="C127">
        <v>6.37</v>
      </c>
    </row>
    <row r="128" spans="1:3" x14ac:dyDescent="0.2">
      <c r="A128" s="2">
        <v>45016</v>
      </c>
      <c r="B128">
        <v>5.66</v>
      </c>
      <c r="C128">
        <v>5.76</v>
      </c>
    </row>
    <row r="129" spans="1:3" x14ac:dyDescent="0.2">
      <c r="A129" s="2">
        <v>45046</v>
      </c>
      <c r="B129">
        <v>4.7</v>
      </c>
      <c r="C129">
        <v>4.8</v>
      </c>
    </row>
    <row r="130" spans="1:3" x14ac:dyDescent="0.2">
      <c r="A130" s="2">
        <v>45077</v>
      </c>
      <c r="B130">
        <v>4.3099999999999996</v>
      </c>
      <c r="C130">
        <v>4.3600000000000003</v>
      </c>
    </row>
    <row r="131" spans="1:3" x14ac:dyDescent="0.2">
      <c r="A131" s="2">
        <v>45107</v>
      </c>
      <c r="B131">
        <v>4.87</v>
      </c>
      <c r="C131">
        <v>4.58</v>
      </c>
    </row>
    <row r="132" spans="1:3" x14ac:dyDescent="0.2">
      <c r="A132" s="2">
        <v>45138</v>
      </c>
      <c r="B132">
        <v>7.44</v>
      </c>
      <c r="C132">
        <v>6.42</v>
      </c>
    </row>
    <row r="133" spans="1:3" x14ac:dyDescent="0.2">
      <c r="A133" s="2">
        <v>45169</v>
      </c>
      <c r="B133">
        <v>6.83</v>
      </c>
      <c r="C133">
        <v>7.1</v>
      </c>
    </row>
    <row r="134" spans="1:3" x14ac:dyDescent="0.2">
      <c r="A134" s="2">
        <v>45199</v>
      </c>
      <c r="B134">
        <v>5.0199999999999996</v>
      </c>
      <c r="C134">
        <v>5.45</v>
      </c>
    </row>
    <row r="135" spans="1:3" x14ac:dyDescent="0.2">
      <c r="A135" s="2">
        <v>45230</v>
      </c>
      <c r="B135">
        <v>4.87</v>
      </c>
      <c r="C135">
        <v>4.79</v>
      </c>
    </row>
    <row r="136" spans="1:3" x14ac:dyDescent="0.2">
      <c r="A136" s="2">
        <v>45260</v>
      </c>
      <c r="B136">
        <v>5.55</v>
      </c>
      <c r="C136">
        <v>5.76</v>
      </c>
    </row>
    <row r="137" spans="1:3" x14ac:dyDescent="0.2">
      <c r="A137" s="2">
        <v>45291</v>
      </c>
      <c r="B137">
        <v>5.69</v>
      </c>
      <c r="C137">
        <v>5.85</v>
      </c>
    </row>
    <row r="138" spans="1:3" x14ac:dyDescent="0.2">
      <c r="A138" s="2">
        <v>45322</v>
      </c>
      <c r="B138">
        <v>5.0999999999999996</v>
      </c>
      <c r="C138">
        <v>5.0199999999999996</v>
      </c>
    </row>
    <row r="139" spans="1:3" x14ac:dyDescent="0.2">
      <c r="A139" s="2">
        <v>45351</v>
      </c>
      <c r="B139">
        <v>5.09</v>
      </c>
      <c r="C139">
        <v>5.04</v>
      </c>
    </row>
    <row r="140" spans="1:3" x14ac:dyDescent="0.2">
      <c r="A140" s="2">
        <v>45382</v>
      </c>
      <c r="B140">
        <v>4.8499999999999996</v>
      </c>
      <c r="C140">
        <v>4.93</v>
      </c>
    </row>
    <row r="141" spans="1:3" x14ac:dyDescent="0.2">
      <c r="A141" s="2">
        <v>45412</v>
      </c>
      <c r="B141">
        <v>4.83</v>
      </c>
      <c r="C141">
        <v>4.83</v>
      </c>
    </row>
    <row r="142" spans="1:3" x14ac:dyDescent="0.2">
      <c r="A142" s="2">
        <v>45443</v>
      </c>
      <c r="B142">
        <v>4.8</v>
      </c>
      <c r="C142">
        <v>4.84</v>
      </c>
    </row>
    <row r="143" spans="1:3" x14ac:dyDescent="0.2">
      <c r="A143" s="2">
        <v>45473</v>
      </c>
      <c r="B143">
        <v>5.08</v>
      </c>
      <c r="C143">
        <v>4.79</v>
      </c>
    </row>
    <row r="144" spans="1:3" x14ac:dyDescent="0.2">
      <c r="A144" s="2">
        <v>45504</v>
      </c>
      <c r="B144">
        <v>3.6</v>
      </c>
      <c r="C144">
        <v>3.67</v>
      </c>
    </row>
    <row r="145" spans="1:3" x14ac:dyDescent="0.2">
      <c r="A145" s="2">
        <v>45535</v>
      </c>
      <c r="B145">
        <v>3.65</v>
      </c>
      <c r="C145">
        <v>3.53</v>
      </c>
    </row>
    <row r="146" spans="1:3" x14ac:dyDescent="0.2">
      <c r="A146" s="2">
        <v>45565</v>
      </c>
      <c r="B146">
        <v>5.49</v>
      </c>
      <c r="C146">
        <v>5.0599999999999996</v>
      </c>
    </row>
    <row r="147" spans="1:3" x14ac:dyDescent="0.2">
      <c r="A147" s="2">
        <v>45596</v>
      </c>
      <c r="B147">
        <v>6.21</v>
      </c>
      <c r="C147">
        <v>5.86</v>
      </c>
    </row>
    <row r="148" spans="1:3" x14ac:dyDescent="0.2">
      <c r="A148" s="2">
        <v>45626</v>
      </c>
      <c r="B148">
        <v>5.48</v>
      </c>
      <c r="C148">
        <v>5.55</v>
      </c>
    </row>
    <row r="149" spans="1:3" x14ac:dyDescent="0.2">
      <c r="A149" s="2">
        <v>45657</v>
      </c>
      <c r="B149">
        <v>5.22</v>
      </c>
      <c r="C149">
        <v>5.29</v>
      </c>
    </row>
    <row r="150" spans="1:3" x14ac:dyDescent="0.2">
      <c r="A150" s="2">
        <v>45688</v>
      </c>
      <c r="B150">
        <v>4.0599999999999996</v>
      </c>
      <c r="C150">
        <v>4.57</v>
      </c>
    </row>
    <row r="151" spans="1:3" x14ac:dyDescent="0.2">
      <c r="A151" s="2">
        <v>45716</v>
      </c>
      <c r="B151">
        <v>3.49</v>
      </c>
      <c r="C151">
        <v>3.96</v>
      </c>
    </row>
    <row r="152" spans="1:3" x14ac:dyDescent="0.2">
      <c r="A152" s="2">
        <v>45747</v>
      </c>
      <c r="B152">
        <v>3.56</v>
      </c>
      <c r="C152">
        <v>3.52</v>
      </c>
    </row>
    <row r="153" spans="1:3" x14ac:dyDescent="0.2">
      <c r="A153" s="2">
        <v>45777</v>
      </c>
      <c r="B153">
        <v>3.34</v>
      </c>
      <c r="C153">
        <v>3.18</v>
      </c>
    </row>
    <row r="154" spans="1:3" x14ac:dyDescent="0.2">
      <c r="A154" s="2">
        <v>45808</v>
      </c>
      <c r="B154">
        <v>3.03</v>
      </c>
      <c r="C154">
        <v>2.96</v>
      </c>
    </row>
    <row r="155" spans="1:3" x14ac:dyDescent="0.2">
      <c r="A155" s="2">
        <v>45838</v>
      </c>
      <c r="B155">
        <v>2.31</v>
      </c>
      <c r="C155">
        <v>2.27</v>
      </c>
    </row>
    <row r="156" spans="1:3" x14ac:dyDescent="0.2">
      <c r="A156" s="2">
        <v>45869</v>
      </c>
      <c r="B156">
        <v>1.62</v>
      </c>
      <c r="C156">
        <v>1.4</v>
      </c>
    </row>
    <row r="157" spans="1:3" x14ac:dyDescent="0.2">
      <c r="A157" s="2">
        <v>45900</v>
      </c>
      <c r="B157">
        <v>2.0099999999999998</v>
      </c>
      <c r="C157">
        <v>2.16</v>
      </c>
    </row>
    <row r="158" spans="1:3" x14ac:dyDescent="0.2">
      <c r="A158" s="2">
        <v>45930</v>
      </c>
      <c r="B158">
        <v>1.41</v>
      </c>
      <c r="C158">
        <v>1.53</v>
      </c>
    </row>
    <row r="159" spans="1:3" x14ac:dyDescent="0.2">
      <c r="A159" s="2">
        <v>45961</v>
      </c>
      <c r="B159">
        <v>0.04</v>
      </c>
      <c r="C159">
        <v>0.36</v>
      </c>
    </row>
    <row r="160" spans="1:3" x14ac:dyDescent="0.2">
      <c r="A160" s="2">
        <v>45991</v>
      </c>
      <c r="B160">
        <v>0.49</v>
      </c>
      <c r="C160">
        <v>0.68</v>
      </c>
    </row>
    <row r="161" spans="1:3" x14ac:dyDescent="0.2">
      <c r="A161" s="2">
        <v>46022</v>
      </c>
      <c r="B161">
        <v>1.17</v>
      </c>
      <c r="C161">
        <v>1.53</v>
      </c>
    </row>
    <row r="162" spans="1:3" x14ac:dyDescent="0.2">
      <c r="A162" s="2">
        <v>46053</v>
      </c>
      <c r="B162">
        <v>2.74</v>
      </c>
      <c r="C162">
        <v>2.68</v>
      </c>
    </row>
    <row r="163" spans="1:3" x14ac:dyDescent="0.2">
      <c r="A163" s="2">
        <v>46081</v>
      </c>
      <c r="B163">
        <v>3.21</v>
      </c>
      <c r="C163">
        <v>3.14</v>
      </c>
    </row>
    <row r="164" spans="1:3" x14ac:dyDescent="0.2">
      <c r="A164" s="2">
        <v>46112</v>
      </c>
      <c r="B164">
        <v>3.4</v>
      </c>
      <c r="C164">
        <v>3.44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5EC94-C88E-9449-83DE-28ED76D9FEB9}">
  <dimension ref="A1:L146"/>
  <sheetViews>
    <sheetView tabSelected="1" workbookViewId="0">
      <selection activeCell="K9" sqref="K9"/>
    </sheetView>
  </sheetViews>
  <sheetFormatPr baseColWidth="10" defaultRowHeight="15" x14ac:dyDescent="0.2"/>
  <cols>
    <col min="1" max="1" width="10.83203125" style="1"/>
  </cols>
  <sheetData>
    <row r="1" spans="1:12" x14ac:dyDescent="0.2">
      <c r="A1" s="1" t="s">
        <v>7</v>
      </c>
      <c r="B1" t="s">
        <v>8</v>
      </c>
      <c r="C1" t="s">
        <v>9</v>
      </c>
      <c r="D1" t="s">
        <v>10</v>
      </c>
      <c r="E1" t="s">
        <v>11</v>
      </c>
    </row>
    <row r="2" spans="1:12" x14ac:dyDescent="0.2">
      <c r="A2" s="1">
        <v>41670</v>
      </c>
      <c r="B2">
        <v>8.6</v>
      </c>
      <c r="C2" s="3">
        <v>9.23</v>
      </c>
      <c r="D2">
        <f>B2-C2</f>
        <v>-0.63000000000000078</v>
      </c>
      <c r="E2" s="3">
        <v>6.7696998653708746</v>
      </c>
      <c r="L2" t="s">
        <v>12</v>
      </c>
    </row>
    <row r="3" spans="1:12" x14ac:dyDescent="0.2">
      <c r="A3" s="1">
        <v>41698</v>
      </c>
      <c r="B3">
        <v>7.88</v>
      </c>
      <c r="C3" s="3">
        <v>8.3000000000000007</v>
      </c>
      <c r="D3">
        <f t="shared" ref="D3:D66" si="0">B3-C3</f>
        <v>-0.42000000000000082</v>
      </c>
      <c r="E3" s="3">
        <v>6.6560220563778509</v>
      </c>
      <c r="F3">
        <f>D2</f>
        <v>-0.63000000000000078</v>
      </c>
      <c r="L3" s="4">
        <v>43951</v>
      </c>
    </row>
    <row r="4" spans="1:12" x14ac:dyDescent="0.2">
      <c r="A4" s="1">
        <v>41729</v>
      </c>
      <c r="B4">
        <v>8.25</v>
      </c>
      <c r="C4" s="3">
        <v>8.24</v>
      </c>
      <c r="D4">
        <f t="shared" si="0"/>
        <v>9.9999999999997868E-3</v>
      </c>
      <c r="E4" s="3">
        <v>6.3761714568820098</v>
      </c>
      <c r="F4">
        <f t="shared" ref="F4:F67" si="1">D3</f>
        <v>-0.42000000000000082</v>
      </c>
      <c r="L4" s="4">
        <v>43982</v>
      </c>
    </row>
    <row r="5" spans="1:12" x14ac:dyDescent="0.2">
      <c r="A5" s="1">
        <v>41759</v>
      </c>
      <c r="B5">
        <v>8.48</v>
      </c>
      <c r="C5" s="3">
        <v>8.52</v>
      </c>
      <c r="D5">
        <f t="shared" si="0"/>
        <v>-3.9999999999999147E-2</v>
      </c>
      <c r="E5" s="3">
        <v>6.2719692158353384</v>
      </c>
      <c r="F5">
        <f t="shared" si="1"/>
        <v>9.9999999999997868E-3</v>
      </c>
    </row>
    <row r="6" spans="1:12" x14ac:dyDescent="0.2">
      <c r="A6" s="1">
        <v>41790</v>
      </c>
      <c r="B6">
        <v>8.33</v>
      </c>
      <c r="C6" s="3">
        <v>8.42</v>
      </c>
      <c r="D6">
        <f t="shared" si="0"/>
        <v>-8.9999999999999858E-2</v>
      </c>
      <c r="E6" s="3">
        <v>6.2073828891021758</v>
      </c>
      <c r="F6">
        <f t="shared" si="1"/>
        <v>-3.9999999999999147E-2</v>
      </c>
    </row>
    <row r="7" spans="1:12" x14ac:dyDescent="0.2">
      <c r="A7" s="1">
        <v>41820</v>
      </c>
      <c r="B7">
        <v>6.77</v>
      </c>
      <c r="C7" s="3">
        <v>7.76</v>
      </c>
      <c r="D7">
        <f t="shared" si="0"/>
        <v>-0.99000000000000021</v>
      </c>
      <c r="E7" s="3">
        <v>6.3376420275238976</v>
      </c>
      <c r="F7">
        <f t="shared" si="1"/>
        <v>-8.9999999999999858E-2</v>
      </c>
    </row>
    <row r="8" spans="1:12" x14ac:dyDescent="0.2">
      <c r="A8" s="1">
        <v>41851</v>
      </c>
      <c r="B8">
        <v>7.39</v>
      </c>
      <c r="C8" s="3">
        <v>7.51</v>
      </c>
      <c r="D8">
        <f t="shared" si="0"/>
        <v>-0.12000000000000011</v>
      </c>
      <c r="E8" s="3">
        <v>6.2634661886842729</v>
      </c>
      <c r="F8">
        <f t="shared" si="1"/>
        <v>-0.99000000000000021</v>
      </c>
    </row>
    <row r="9" spans="1:12" x14ac:dyDescent="0.2">
      <c r="A9" s="1">
        <v>41882</v>
      </c>
      <c r="B9">
        <v>7.03</v>
      </c>
      <c r="C9" s="3">
        <v>7.82</v>
      </c>
      <c r="D9">
        <f t="shared" si="0"/>
        <v>-0.79</v>
      </c>
      <c r="E9" s="3">
        <v>5.989709453098695</v>
      </c>
      <c r="F9">
        <f t="shared" si="1"/>
        <v>-0.12000000000000011</v>
      </c>
    </row>
    <row r="10" spans="1:12" x14ac:dyDescent="0.2">
      <c r="A10" s="1">
        <v>41912</v>
      </c>
      <c r="B10">
        <v>5.63</v>
      </c>
      <c r="C10" s="3">
        <v>7.18</v>
      </c>
      <c r="D10">
        <f t="shared" si="0"/>
        <v>-1.5499999999999998</v>
      </c>
      <c r="E10" s="3">
        <v>6.0852111317724287</v>
      </c>
      <c r="F10">
        <f t="shared" si="1"/>
        <v>-0.79</v>
      </c>
    </row>
    <row r="11" spans="1:12" x14ac:dyDescent="0.2">
      <c r="A11" s="1">
        <v>41943</v>
      </c>
      <c r="B11">
        <v>4.62</v>
      </c>
      <c r="C11" s="3">
        <v>5.71</v>
      </c>
      <c r="D11">
        <f t="shared" si="0"/>
        <v>-1.0899999999999999</v>
      </c>
      <c r="E11" s="3">
        <v>5.8906081062968383</v>
      </c>
      <c r="F11">
        <f t="shared" si="1"/>
        <v>-1.5499999999999998</v>
      </c>
    </row>
    <row r="12" spans="1:12" x14ac:dyDescent="0.2">
      <c r="A12" s="1">
        <v>41973</v>
      </c>
      <c r="B12">
        <v>3.27</v>
      </c>
      <c r="C12" s="3">
        <v>4.46</v>
      </c>
      <c r="D12">
        <f t="shared" si="0"/>
        <v>-1.19</v>
      </c>
      <c r="E12" s="3">
        <v>5.5649265279398028</v>
      </c>
      <c r="F12">
        <f t="shared" si="1"/>
        <v>-1.0899999999999999</v>
      </c>
    </row>
    <row r="13" spans="1:12" x14ac:dyDescent="0.2">
      <c r="A13" s="1">
        <v>42004</v>
      </c>
      <c r="B13">
        <v>4.28</v>
      </c>
      <c r="C13" s="3">
        <v>5.32</v>
      </c>
      <c r="D13">
        <f t="shared" si="0"/>
        <v>-1.04</v>
      </c>
      <c r="E13" s="3">
        <v>5.489734435414257</v>
      </c>
      <c r="F13">
        <f t="shared" si="1"/>
        <v>-1.19</v>
      </c>
    </row>
    <row r="14" spans="1:12" x14ac:dyDescent="0.2">
      <c r="A14" s="1">
        <v>42035</v>
      </c>
      <c r="B14">
        <v>5.19</v>
      </c>
      <c r="C14" s="3">
        <v>5.55</v>
      </c>
      <c r="D14">
        <f t="shared" si="0"/>
        <v>-0.35999999999999943</v>
      </c>
      <c r="E14" s="3">
        <v>5.1343771661349784</v>
      </c>
      <c r="F14">
        <f t="shared" si="1"/>
        <v>-1.04</v>
      </c>
    </row>
    <row r="15" spans="1:12" x14ac:dyDescent="0.2">
      <c r="A15" s="1">
        <v>42063</v>
      </c>
      <c r="B15">
        <v>5.37</v>
      </c>
      <c r="C15" s="3">
        <v>5.24</v>
      </c>
      <c r="D15">
        <f t="shared" si="0"/>
        <v>0.12999999999999989</v>
      </c>
      <c r="E15" s="3">
        <v>5.1753491030912473</v>
      </c>
      <c r="F15">
        <f t="shared" si="1"/>
        <v>-0.35999999999999943</v>
      </c>
    </row>
    <row r="16" spans="1:12" x14ac:dyDescent="0.2">
      <c r="A16" s="1">
        <v>42094</v>
      </c>
      <c r="B16">
        <v>5.25</v>
      </c>
      <c r="C16" s="3">
        <v>5.42</v>
      </c>
      <c r="D16">
        <f t="shared" si="0"/>
        <v>-0.16999999999999993</v>
      </c>
      <c r="E16" s="3">
        <v>5.3871891266849072</v>
      </c>
      <c r="F16">
        <f t="shared" si="1"/>
        <v>0.12999999999999989</v>
      </c>
    </row>
    <row r="17" spans="1:6" x14ac:dyDescent="0.2">
      <c r="A17" s="1">
        <v>42124</v>
      </c>
      <c r="B17">
        <v>4.87</v>
      </c>
      <c r="C17" s="3">
        <v>4.93</v>
      </c>
      <c r="D17">
        <f t="shared" si="0"/>
        <v>-5.9999999999999609E-2</v>
      </c>
      <c r="E17" s="3">
        <v>5.4061480584409862</v>
      </c>
      <c r="F17">
        <f t="shared" si="1"/>
        <v>-0.16999999999999993</v>
      </c>
    </row>
    <row r="18" spans="1:6" x14ac:dyDescent="0.2">
      <c r="A18" s="1">
        <v>42155</v>
      </c>
      <c r="B18">
        <v>5.01</v>
      </c>
      <c r="C18" s="3">
        <v>5</v>
      </c>
      <c r="D18">
        <f t="shared" si="0"/>
        <v>9.9999999999997868E-3</v>
      </c>
      <c r="E18" s="3">
        <v>5.4776734699536149</v>
      </c>
      <c r="F18">
        <f t="shared" si="1"/>
        <v>-5.9999999999999609E-2</v>
      </c>
    </row>
    <row r="19" spans="1:6" x14ac:dyDescent="0.2">
      <c r="A19" s="1">
        <v>42185</v>
      </c>
      <c r="B19">
        <v>5.4</v>
      </c>
      <c r="C19" s="3">
        <v>5.09</v>
      </c>
      <c r="D19">
        <f t="shared" si="0"/>
        <v>0.3100000000000005</v>
      </c>
      <c r="E19" s="3">
        <v>5.451292990432183</v>
      </c>
      <c r="F19">
        <f t="shared" si="1"/>
        <v>9.9999999999997868E-3</v>
      </c>
    </row>
    <row r="20" spans="1:6" x14ac:dyDescent="0.2">
      <c r="A20" s="1">
        <v>42216</v>
      </c>
      <c r="B20">
        <v>3.69</v>
      </c>
      <c r="C20" s="3">
        <v>4.53</v>
      </c>
      <c r="D20">
        <f t="shared" si="0"/>
        <v>-0.8400000000000003</v>
      </c>
      <c r="E20" s="3">
        <v>5.3447993498199882</v>
      </c>
      <c r="F20">
        <f t="shared" si="1"/>
        <v>0.3100000000000005</v>
      </c>
    </row>
    <row r="21" spans="1:6" x14ac:dyDescent="0.2">
      <c r="A21" s="1">
        <v>42247</v>
      </c>
      <c r="B21">
        <v>3.74</v>
      </c>
      <c r="C21" s="3">
        <v>3.56</v>
      </c>
      <c r="D21">
        <f t="shared" si="0"/>
        <v>0.18000000000000016</v>
      </c>
      <c r="E21" s="3">
        <v>5.4187132775685942</v>
      </c>
      <c r="F21">
        <f t="shared" si="1"/>
        <v>-0.8400000000000003</v>
      </c>
    </row>
    <row r="22" spans="1:6" x14ac:dyDescent="0.2">
      <c r="A22" s="1">
        <v>42277</v>
      </c>
      <c r="B22">
        <v>4.41</v>
      </c>
      <c r="C22" s="3">
        <v>4.34</v>
      </c>
      <c r="D22">
        <f t="shared" si="0"/>
        <v>7.0000000000000284E-2</v>
      </c>
      <c r="E22" s="3">
        <v>5.0622599642851878</v>
      </c>
      <c r="F22">
        <f t="shared" si="1"/>
        <v>0.18000000000000016</v>
      </c>
    </row>
    <row r="23" spans="1:6" x14ac:dyDescent="0.2">
      <c r="A23" s="1">
        <v>42308</v>
      </c>
      <c r="B23">
        <v>5</v>
      </c>
      <c r="C23" s="3">
        <v>4.8899999999999997</v>
      </c>
      <c r="D23">
        <f t="shared" si="0"/>
        <v>0.11000000000000032</v>
      </c>
      <c r="E23" s="3">
        <v>5.1460686436343854</v>
      </c>
      <c r="F23">
        <f t="shared" si="1"/>
        <v>7.0000000000000284E-2</v>
      </c>
    </row>
    <row r="24" spans="1:6" x14ac:dyDescent="0.2">
      <c r="A24" s="1">
        <v>42338</v>
      </c>
      <c r="B24">
        <v>5.41</v>
      </c>
      <c r="C24" s="3">
        <v>5.34</v>
      </c>
      <c r="D24">
        <f t="shared" si="0"/>
        <v>7.0000000000000284E-2</v>
      </c>
      <c r="E24" s="3">
        <v>5.2617186697261014</v>
      </c>
      <c r="F24">
        <f t="shared" si="1"/>
        <v>0.11000000000000032</v>
      </c>
    </row>
    <row r="25" spans="1:6" x14ac:dyDescent="0.2">
      <c r="A25" s="1">
        <v>42369</v>
      </c>
      <c r="B25">
        <v>5.61</v>
      </c>
      <c r="C25" s="3">
        <v>5.51</v>
      </c>
      <c r="D25">
        <f t="shared" si="0"/>
        <v>0.10000000000000053</v>
      </c>
      <c r="E25" s="3">
        <v>5.3913190460880642</v>
      </c>
      <c r="F25">
        <f t="shared" si="1"/>
        <v>7.0000000000000284E-2</v>
      </c>
    </row>
    <row r="26" spans="1:6" x14ac:dyDescent="0.2">
      <c r="A26" s="1">
        <v>42400</v>
      </c>
      <c r="B26">
        <v>5.69</v>
      </c>
      <c r="C26" s="3">
        <v>5.43</v>
      </c>
      <c r="D26">
        <f t="shared" si="0"/>
        <v>0.26000000000000068</v>
      </c>
      <c r="E26" s="3">
        <v>5.5736651435806497</v>
      </c>
      <c r="F26">
        <f t="shared" si="1"/>
        <v>0.10000000000000053</v>
      </c>
    </row>
    <row r="27" spans="1:6" x14ac:dyDescent="0.2">
      <c r="A27" s="1">
        <v>42429</v>
      </c>
      <c r="B27">
        <v>5.26</v>
      </c>
      <c r="C27" s="3">
        <v>5.54</v>
      </c>
      <c r="D27">
        <f t="shared" si="0"/>
        <v>-0.28000000000000025</v>
      </c>
      <c r="E27" s="3">
        <v>5.5779185265763864</v>
      </c>
      <c r="F27">
        <f t="shared" si="1"/>
        <v>0.26000000000000068</v>
      </c>
    </row>
    <row r="28" spans="1:6" x14ac:dyDescent="0.2">
      <c r="A28" s="1">
        <v>42460</v>
      </c>
      <c r="B28">
        <v>4.83</v>
      </c>
      <c r="C28" s="3">
        <v>5</v>
      </c>
      <c r="D28">
        <f t="shared" si="0"/>
        <v>-0.16999999999999993</v>
      </c>
      <c r="E28" s="3">
        <v>5.4673440368733797</v>
      </c>
      <c r="F28">
        <f t="shared" si="1"/>
        <v>-0.28000000000000025</v>
      </c>
    </row>
    <row r="29" spans="1:6" x14ac:dyDescent="0.2">
      <c r="A29" s="1">
        <v>42490</v>
      </c>
      <c r="B29">
        <v>5.47</v>
      </c>
      <c r="C29" s="3">
        <v>5.0599999999999996</v>
      </c>
      <c r="D29">
        <f t="shared" si="0"/>
        <v>0.41000000000000014</v>
      </c>
      <c r="E29" s="3">
        <v>5.3496681133101216</v>
      </c>
      <c r="F29">
        <f t="shared" si="1"/>
        <v>-0.16999999999999993</v>
      </c>
    </row>
    <row r="30" spans="1:6" x14ac:dyDescent="0.2">
      <c r="A30" s="1">
        <v>42521</v>
      </c>
      <c r="B30">
        <v>5.76</v>
      </c>
      <c r="C30" s="3">
        <v>5.57</v>
      </c>
      <c r="D30">
        <f t="shared" si="0"/>
        <v>0.1899999999999995</v>
      </c>
      <c r="E30" s="3">
        <v>5.2880664024585347</v>
      </c>
      <c r="F30">
        <f t="shared" si="1"/>
        <v>0.41000000000000014</v>
      </c>
    </row>
    <row r="31" spans="1:6" x14ac:dyDescent="0.2">
      <c r="A31" s="1">
        <v>42551</v>
      </c>
      <c r="B31">
        <v>5.77</v>
      </c>
      <c r="C31" s="3">
        <v>5.77</v>
      </c>
      <c r="D31">
        <f t="shared" si="0"/>
        <v>0</v>
      </c>
      <c r="E31" s="3">
        <v>5.3502583823577927</v>
      </c>
      <c r="F31">
        <f t="shared" si="1"/>
        <v>0.1899999999999995</v>
      </c>
    </row>
    <row r="32" spans="1:6" x14ac:dyDescent="0.2">
      <c r="A32" s="1">
        <v>42582</v>
      </c>
      <c r="B32">
        <v>6.07</v>
      </c>
      <c r="C32" s="3">
        <v>5.95</v>
      </c>
      <c r="D32">
        <f t="shared" si="0"/>
        <v>0.12000000000000011</v>
      </c>
      <c r="E32" s="3">
        <v>5.1950731667114871</v>
      </c>
      <c r="F32">
        <f t="shared" si="1"/>
        <v>0</v>
      </c>
    </row>
    <row r="33" spans="1:6" x14ac:dyDescent="0.2">
      <c r="A33" s="1">
        <v>42613</v>
      </c>
      <c r="B33">
        <v>5.05</v>
      </c>
      <c r="C33" s="3">
        <v>5.32</v>
      </c>
      <c r="D33">
        <f t="shared" si="0"/>
        <v>-0.27000000000000046</v>
      </c>
      <c r="E33" s="3">
        <v>5.1503349560538538</v>
      </c>
      <c r="F33">
        <f t="shared" si="1"/>
        <v>0.12000000000000011</v>
      </c>
    </row>
    <row r="34" spans="1:6" x14ac:dyDescent="0.2">
      <c r="A34" s="1">
        <v>42643</v>
      </c>
      <c r="B34">
        <v>4.3899999999999997</v>
      </c>
      <c r="C34" s="3">
        <v>4.66</v>
      </c>
      <c r="D34">
        <f t="shared" si="0"/>
        <v>-0.27000000000000046</v>
      </c>
      <c r="E34" s="3">
        <v>5.2373930574318726</v>
      </c>
      <c r="F34">
        <f t="shared" si="1"/>
        <v>-0.27000000000000046</v>
      </c>
    </row>
    <row r="35" spans="1:6" x14ac:dyDescent="0.2">
      <c r="A35" s="1">
        <v>42674</v>
      </c>
      <c r="B35">
        <v>4.2</v>
      </c>
      <c r="C35" s="3">
        <v>4.18</v>
      </c>
      <c r="D35">
        <f t="shared" si="0"/>
        <v>2.0000000000000462E-2</v>
      </c>
      <c r="E35" s="3">
        <v>5.1856705045775682</v>
      </c>
      <c r="F35">
        <f t="shared" si="1"/>
        <v>-0.27000000000000046</v>
      </c>
    </row>
    <row r="36" spans="1:6" x14ac:dyDescent="0.2">
      <c r="A36" s="1">
        <v>42704</v>
      </c>
      <c r="B36">
        <v>3.63</v>
      </c>
      <c r="C36" s="3">
        <v>3.89</v>
      </c>
      <c r="D36">
        <f t="shared" si="0"/>
        <v>-0.26000000000000023</v>
      </c>
      <c r="E36" s="3">
        <v>4.9010577336708696</v>
      </c>
      <c r="F36">
        <f t="shared" si="1"/>
        <v>2.0000000000000462E-2</v>
      </c>
    </row>
    <row r="37" spans="1:6" x14ac:dyDescent="0.2">
      <c r="A37" s="1">
        <v>42735</v>
      </c>
      <c r="B37">
        <v>3.41</v>
      </c>
      <c r="C37" s="3">
        <v>3.52</v>
      </c>
      <c r="D37">
        <f t="shared" si="0"/>
        <v>-0.10999999999999988</v>
      </c>
      <c r="E37" s="3">
        <v>5.0324050605527706</v>
      </c>
      <c r="F37">
        <f t="shared" si="1"/>
        <v>-0.26000000000000023</v>
      </c>
    </row>
    <row r="38" spans="1:6" x14ac:dyDescent="0.2">
      <c r="A38" s="1">
        <v>42766</v>
      </c>
      <c r="B38">
        <v>3.17</v>
      </c>
      <c r="C38" s="3">
        <v>3.24</v>
      </c>
      <c r="D38">
        <f t="shared" si="0"/>
        <v>-7.0000000000000284E-2</v>
      </c>
      <c r="E38" s="3">
        <v>4.9822153085606082</v>
      </c>
      <c r="F38">
        <f t="shared" si="1"/>
        <v>-0.10999999999999988</v>
      </c>
    </row>
    <row r="39" spans="1:6" x14ac:dyDescent="0.2">
      <c r="A39" s="1">
        <v>42794</v>
      </c>
      <c r="B39">
        <v>3.65</v>
      </c>
      <c r="C39" s="3">
        <v>3.57</v>
      </c>
      <c r="D39">
        <f t="shared" si="0"/>
        <v>8.0000000000000071E-2</v>
      </c>
      <c r="E39" s="3">
        <v>4.9915471411447916</v>
      </c>
      <c r="F39">
        <f t="shared" si="1"/>
        <v>-7.0000000000000284E-2</v>
      </c>
    </row>
    <row r="40" spans="1:6" x14ac:dyDescent="0.2">
      <c r="A40" s="1">
        <v>42825</v>
      </c>
      <c r="B40">
        <v>3.89</v>
      </c>
      <c r="C40" s="3">
        <v>3.95</v>
      </c>
      <c r="D40">
        <f t="shared" si="0"/>
        <v>-6.0000000000000053E-2</v>
      </c>
      <c r="E40" s="3">
        <v>4.9147184713748846</v>
      </c>
      <c r="F40">
        <f t="shared" si="1"/>
        <v>8.0000000000000071E-2</v>
      </c>
    </row>
    <row r="41" spans="1:6" x14ac:dyDescent="0.2">
      <c r="A41" s="1">
        <v>42855</v>
      </c>
      <c r="B41">
        <v>2.99</v>
      </c>
      <c r="C41" s="3">
        <v>3.33</v>
      </c>
      <c r="D41">
        <f t="shared" si="0"/>
        <v>-0.33999999999999986</v>
      </c>
      <c r="E41" s="3">
        <v>5.0509151013345814</v>
      </c>
      <c r="F41">
        <f t="shared" si="1"/>
        <v>-6.0000000000000053E-2</v>
      </c>
    </row>
    <row r="42" spans="1:6" x14ac:dyDescent="0.2">
      <c r="A42" s="1">
        <v>42886</v>
      </c>
      <c r="B42">
        <v>2.1800000000000002</v>
      </c>
      <c r="C42" s="3">
        <v>2.46</v>
      </c>
      <c r="D42">
        <f t="shared" si="0"/>
        <v>-0.2799999999999998</v>
      </c>
      <c r="E42" s="3">
        <v>4.9969451447390636</v>
      </c>
      <c r="F42">
        <f t="shared" si="1"/>
        <v>-0.33999999999999986</v>
      </c>
    </row>
    <row r="43" spans="1:6" x14ac:dyDescent="0.2">
      <c r="A43" s="1">
        <v>42916</v>
      </c>
      <c r="B43">
        <v>1.46</v>
      </c>
      <c r="C43" s="3">
        <v>1.65</v>
      </c>
      <c r="D43">
        <f t="shared" si="0"/>
        <v>-0.18999999999999995</v>
      </c>
      <c r="E43" s="3">
        <v>4.8839340107717826</v>
      </c>
      <c r="F43">
        <f t="shared" si="1"/>
        <v>-0.2799999999999998</v>
      </c>
    </row>
    <row r="44" spans="1:6" x14ac:dyDescent="0.2">
      <c r="A44" s="1">
        <v>42947</v>
      </c>
      <c r="B44">
        <v>2.36</v>
      </c>
      <c r="C44" s="3">
        <v>2.09</v>
      </c>
      <c r="D44">
        <f t="shared" si="0"/>
        <v>0.27</v>
      </c>
      <c r="E44" s="3">
        <v>4.8070351402608269</v>
      </c>
      <c r="F44">
        <f t="shared" si="1"/>
        <v>-0.18999999999999995</v>
      </c>
    </row>
    <row r="45" spans="1:6" x14ac:dyDescent="0.2">
      <c r="A45" s="1">
        <v>42978</v>
      </c>
      <c r="B45">
        <v>3.28</v>
      </c>
      <c r="C45" s="3">
        <v>3.23</v>
      </c>
      <c r="D45">
        <f t="shared" si="0"/>
        <v>4.9999999999999822E-2</v>
      </c>
      <c r="E45" s="3">
        <v>4.6734249052803589</v>
      </c>
      <c r="F45">
        <f t="shared" si="1"/>
        <v>0.27</v>
      </c>
    </row>
    <row r="46" spans="1:6" x14ac:dyDescent="0.2">
      <c r="A46" s="1">
        <v>43008</v>
      </c>
      <c r="B46">
        <v>3.28</v>
      </c>
      <c r="C46" s="3">
        <v>3.59</v>
      </c>
      <c r="D46">
        <f t="shared" si="0"/>
        <v>-0.31000000000000005</v>
      </c>
      <c r="E46" s="3">
        <v>4.8657950585836947</v>
      </c>
      <c r="F46">
        <f t="shared" si="1"/>
        <v>4.9999999999999822E-2</v>
      </c>
    </row>
    <row r="47" spans="1:6" x14ac:dyDescent="0.2">
      <c r="A47" s="1">
        <v>43039</v>
      </c>
      <c r="B47">
        <v>3.58</v>
      </c>
      <c r="C47" s="3">
        <v>3.45</v>
      </c>
      <c r="D47">
        <f t="shared" si="0"/>
        <v>0.12999999999999989</v>
      </c>
      <c r="E47" s="3">
        <v>5.0107543919374944</v>
      </c>
      <c r="F47">
        <f t="shared" si="1"/>
        <v>-0.31000000000000005</v>
      </c>
    </row>
    <row r="48" spans="1:6" x14ac:dyDescent="0.2">
      <c r="A48" s="1">
        <v>43069</v>
      </c>
      <c r="B48">
        <v>4.88</v>
      </c>
      <c r="C48" s="3">
        <v>4.29</v>
      </c>
      <c r="D48">
        <f t="shared" si="0"/>
        <v>0.58999999999999986</v>
      </c>
      <c r="E48" s="3">
        <v>5.0732850622505019</v>
      </c>
      <c r="F48">
        <f t="shared" si="1"/>
        <v>0.12999999999999989</v>
      </c>
    </row>
    <row r="49" spans="1:6" x14ac:dyDescent="0.2">
      <c r="A49" s="1">
        <v>43100</v>
      </c>
      <c r="B49">
        <v>5.21</v>
      </c>
      <c r="C49" s="3">
        <v>5.16</v>
      </c>
      <c r="D49">
        <f t="shared" si="0"/>
        <v>4.9999999999999822E-2</v>
      </c>
      <c r="E49" s="3">
        <v>5.161651032075885</v>
      </c>
      <c r="F49">
        <f t="shared" si="1"/>
        <v>0.58999999999999986</v>
      </c>
    </row>
    <row r="50" spans="1:6" x14ac:dyDescent="0.2">
      <c r="A50" s="1">
        <v>43131</v>
      </c>
      <c r="B50">
        <v>5.07</v>
      </c>
      <c r="C50" s="3">
        <v>5.09</v>
      </c>
      <c r="D50">
        <f t="shared" si="0"/>
        <v>-1.9999999999999574E-2</v>
      </c>
      <c r="E50" s="3">
        <v>5.4011750007794346</v>
      </c>
      <c r="F50">
        <f t="shared" si="1"/>
        <v>4.9999999999999822E-2</v>
      </c>
    </row>
    <row r="51" spans="1:6" x14ac:dyDescent="0.2">
      <c r="A51" s="1">
        <v>43159</v>
      </c>
      <c r="B51">
        <v>4.4400000000000004</v>
      </c>
      <c r="C51" s="3">
        <v>4.76</v>
      </c>
      <c r="D51">
        <f t="shared" si="0"/>
        <v>-0.3199999999999994</v>
      </c>
      <c r="E51" s="3">
        <v>5.550328419184213</v>
      </c>
      <c r="F51">
        <f t="shared" si="1"/>
        <v>-1.9999999999999574E-2</v>
      </c>
    </row>
    <row r="52" spans="1:6" x14ac:dyDescent="0.2">
      <c r="A52" s="1">
        <v>43190</v>
      </c>
      <c r="B52">
        <v>4.28</v>
      </c>
      <c r="C52" s="3">
        <v>4.21</v>
      </c>
      <c r="D52">
        <f t="shared" si="0"/>
        <v>7.0000000000000284E-2</v>
      </c>
      <c r="E52" s="3">
        <v>5.3311458723347656</v>
      </c>
      <c r="F52">
        <f t="shared" si="1"/>
        <v>-0.3199999999999994</v>
      </c>
    </row>
    <row r="53" spans="1:6" x14ac:dyDescent="0.2">
      <c r="A53" s="1">
        <v>43220</v>
      </c>
      <c r="B53">
        <v>4.58</v>
      </c>
      <c r="C53" s="3">
        <v>4.45</v>
      </c>
      <c r="D53">
        <f t="shared" si="0"/>
        <v>0.12999999999999989</v>
      </c>
      <c r="E53" s="3">
        <v>5.2493250190490874</v>
      </c>
      <c r="F53">
        <f t="shared" si="1"/>
        <v>7.0000000000000284E-2</v>
      </c>
    </row>
    <row r="54" spans="1:6" x14ac:dyDescent="0.2">
      <c r="A54" s="1">
        <v>43251</v>
      </c>
      <c r="B54">
        <v>4.87</v>
      </c>
      <c r="C54" s="3">
        <v>4.88</v>
      </c>
      <c r="D54">
        <f t="shared" si="0"/>
        <v>-9.9999999999997868E-3</v>
      </c>
      <c r="E54" s="3">
        <v>5.1168233508391978</v>
      </c>
      <c r="F54">
        <f t="shared" si="1"/>
        <v>0.12999999999999989</v>
      </c>
    </row>
    <row r="55" spans="1:6" x14ac:dyDescent="0.2">
      <c r="A55" s="1">
        <v>43281</v>
      </c>
      <c r="B55">
        <v>4.92</v>
      </c>
      <c r="C55" s="3">
        <v>5.26</v>
      </c>
      <c r="D55">
        <f t="shared" si="0"/>
        <v>-0.33999999999999986</v>
      </c>
      <c r="E55" s="3">
        <v>5.2985171209920239</v>
      </c>
      <c r="F55">
        <f t="shared" si="1"/>
        <v>-9.9999999999997868E-3</v>
      </c>
    </row>
    <row r="56" spans="1:6" x14ac:dyDescent="0.2">
      <c r="A56" s="1">
        <v>43312</v>
      </c>
      <c r="B56">
        <v>4.17</v>
      </c>
      <c r="C56" s="3">
        <v>4.46</v>
      </c>
      <c r="D56">
        <f t="shared" si="0"/>
        <v>-0.29000000000000004</v>
      </c>
      <c r="E56" s="3">
        <v>5.2883988706268532</v>
      </c>
      <c r="F56">
        <f t="shared" si="1"/>
        <v>-0.33999999999999986</v>
      </c>
    </row>
    <row r="57" spans="1:6" x14ac:dyDescent="0.2">
      <c r="A57" s="1">
        <v>43343</v>
      </c>
      <c r="B57">
        <v>3.69</v>
      </c>
      <c r="C57" s="3">
        <v>3.83</v>
      </c>
      <c r="D57">
        <f t="shared" si="0"/>
        <v>-0.14000000000000012</v>
      </c>
      <c r="E57" s="3">
        <v>5.265152435358897</v>
      </c>
      <c r="F57">
        <f t="shared" si="1"/>
        <v>-0.29000000000000004</v>
      </c>
    </row>
    <row r="58" spans="1:6" x14ac:dyDescent="0.2">
      <c r="A58" s="1">
        <v>43373</v>
      </c>
      <c r="B58">
        <v>3.7</v>
      </c>
      <c r="C58" s="3">
        <v>4.08</v>
      </c>
      <c r="D58">
        <f t="shared" si="0"/>
        <v>-0.37999999999999989</v>
      </c>
      <c r="E58" s="3">
        <v>5.2815286277539464</v>
      </c>
      <c r="F58">
        <f t="shared" si="1"/>
        <v>-0.14000000000000012</v>
      </c>
    </row>
    <row r="59" spans="1:6" x14ac:dyDescent="0.2">
      <c r="A59" s="1">
        <v>43404</v>
      </c>
      <c r="B59">
        <v>3.38</v>
      </c>
      <c r="C59" s="3">
        <v>3.66</v>
      </c>
      <c r="D59">
        <f t="shared" si="0"/>
        <v>-0.28000000000000025</v>
      </c>
      <c r="E59" s="3">
        <v>5.2396870391576442</v>
      </c>
      <c r="F59">
        <f t="shared" si="1"/>
        <v>-0.37999999999999989</v>
      </c>
    </row>
    <row r="60" spans="1:6" x14ac:dyDescent="0.2">
      <c r="A60" s="1">
        <v>43434</v>
      </c>
      <c r="B60">
        <v>2.33</v>
      </c>
      <c r="C60" s="3">
        <v>2.64</v>
      </c>
      <c r="D60">
        <f t="shared" si="0"/>
        <v>-0.31000000000000005</v>
      </c>
      <c r="E60" s="3">
        <v>5.1204768583557936</v>
      </c>
      <c r="F60">
        <f t="shared" si="1"/>
        <v>-0.28000000000000025</v>
      </c>
    </row>
    <row r="61" spans="1:6" x14ac:dyDescent="0.2">
      <c r="A61" s="1">
        <v>43465</v>
      </c>
      <c r="B61">
        <v>2.11</v>
      </c>
      <c r="C61" s="3">
        <v>2.21</v>
      </c>
      <c r="D61">
        <f t="shared" si="0"/>
        <v>-0.10000000000000009</v>
      </c>
      <c r="E61" s="3">
        <v>5.0400608209800577</v>
      </c>
      <c r="F61">
        <f t="shared" si="1"/>
        <v>-0.31000000000000005</v>
      </c>
    </row>
    <row r="62" spans="1:6" x14ac:dyDescent="0.2">
      <c r="A62" s="1">
        <v>43496</v>
      </c>
      <c r="B62">
        <v>1.97</v>
      </c>
      <c r="C62" s="3">
        <v>2.5099999999999998</v>
      </c>
      <c r="D62">
        <f t="shared" si="0"/>
        <v>-0.53999999999999981</v>
      </c>
      <c r="E62" s="3">
        <v>4.9675991414549827</v>
      </c>
      <c r="F62">
        <f t="shared" si="1"/>
        <v>-0.10000000000000009</v>
      </c>
    </row>
    <row r="63" spans="1:6" x14ac:dyDescent="0.2">
      <c r="A63" s="1">
        <v>43524</v>
      </c>
      <c r="B63">
        <v>2.57</v>
      </c>
      <c r="C63" s="3">
        <v>2.46</v>
      </c>
      <c r="D63">
        <f t="shared" si="0"/>
        <v>0.10999999999999988</v>
      </c>
      <c r="E63" s="3">
        <v>4.9966745716153156</v>
      </c>
      <c r="F63">
        <f t="shared" si="1"/>
        <v>-0.53999999999999981</v>
      </c>
    </row>
    <row r="64" spans="1:6" x14ac:dyDescent="0.2">
      <c r="A64" s="1">
        <v>43555</v>
      </c>
      <c r="B64">
        <v>2.86</v>
      </c>
      <c r="C64" s="3">
        <v>2.85</v>
      </c>
      <c r="D64">
        <f t="shared" si="0"/>
        <v>9.9999999999997868E-3</v>
      </c>
      <c r="E64" s="3">
        <v>4.9140161463941991</v>
      </c>
      <c r="F64">
        <f t="shared" si="1"/>
        <v>0.10999999999999988</v>
      </c>
    </row>
    <row r="65" spans="1:6" x14ac:dyDescent="0.2">
      <c r="A65" s="1">
        <v>43585</v>
      </c>
      <c r="B65">
        <v>2.99</v>
      </c>
      <c r="C65" s="3">
        <v>2.96</v>
      </c>
      <c r="D65">
        <f t="shared" si="0"/>
        <v>3.0000000000000249E-2</v>
      </c>
      <c r="E65" s="3">
        <v>5.0133138155868382</v>
      </c>
      <c r="F65">
        <f t="shared" si="1"/>
        <v>9.9999999999997868E-3</v>
      </c>
    </row>
    <row r="66" spans="1:6" x14ac:dyDescent="0.2">
      <c r="A66" s="1">
        <v>43616</v>
      </c>
      <c r="B66">
        <v>3.05</v>
      </c>
      <c r="C66" s="3">
        <v>3.07</v>
      </c>
      <c r="D66">
        <f t="shared" si="0"/>
        <v>-2.0000000000000018E-2</v>
      </c>
      <c r="E66" s="3">
        <v>4.9152155995744868</v>
      </c>
      <c r="F66">
        <f t="shared" si="1"/>
        <v>3.0000000000000249E-2</v>
      </c>
    </row>
    <row r="67" spans="1:6" x14ac:dyDescent="0.2">
      <c r="A67" s="1">
        <v>43646</v>
      </c>
      <c r="B67">
        <v>3.18</v>
      </c>
      <c r="C67" s="3">
        <v>3.14</v>
      </c>
      <c r="D67">
        <f t="shared" ref="D67:D128" si="2">B67-C67</f>
        <v>4.0000000000000036E-2</v>
      </c>
      <c r="E67" s="3">
        <v>4.8153707955325951</v>
      </c>
      <c r="F67">
        <f t="shared" si="1"/>
        <v>-2.0000000000000018E-2</v>
      </c>
    </row>
    <row r="68" spans="1:6" x14ac:dyDescent="0.2">
      <c r="A68" s="1">
        <v>43677</v>
      </c>
      <c r="B68">
        <v>3.15</v>
      </c>
      <c r="C68" s="3">
        <v>3.1</v>
      </c>
      <c r="D68">
        <f t="shared" si="2"/>
        <v>4.9999999999999822E-2</v>
      </c>
      <c r="E68" s="3">
        <v>4.7346663914495757</v>
      </c>
      <c r="F68">
        <f t="shared" ref="F68:F131" si="3">D67</f>
        <v>4.0000000000000036E-2</v>
      </c>
    </row>
    <row r="69" spans="1:6" x14ac:dyDescent="0.2">
      <c r="A69" s="1">
        <v>43708</v>
      </c>
      <c r="B69">
        <v>3.28</v>
      </c>
      <c r="C69" s="3">
        <v>3.3</v>
      </c>
      <c r="D69">
        <f t="shared" si="2"/>
        <v>-2.0000000000000018E-2</v>
      </c>
      <c r="E69" s="3">
        <v>4.871491847942985</v>
      </c>
      <c r="F69">
        <f t="shared" si="3"/>
        <v>4.9999999999999822E-2</v>
      </c>
    </row>
    <row r="70" spans="1:6" x14ac:dyDescent="0.2">
      <c r="A70" s="1">
        <v>43738</v>
      </c>
      <c r="B70">
        <v>3.99</v>
      </c>
      <c r="C70" s="3">
        <v>3.74</v>
      </c>
      <c r="D70">
        <f t="shared" si="2"/>
        <v>0.25</v>
      </c>
      <c r="E70" s="3">
        <v>4.8905183128008529</v>
      </c>
      <c r="F70">
        <f t="shared" si="3"/>
        <v>-2.0000000000000018E-2</v>
      </c>
    </row>
    <row r="71" spans="1:6" x14ac:dyDescent="0.2">
      <c r="A71" s="1">
        <v>43769</v>
      </c>
      <c r="B71">
        <v>4.62</v>
      </c>
      <c r="C71" s="3">
        <v>4.37</v>
      </c>
      <c r="D71">
        <f t="shared" si="2"/>
        <v>0.25</v>
      </c>
      <c r="E71" s="3">
        <v>4.9637873365465186</v>
      </c>
      <c r="F71">
        <f t="shared" si="3"/>
        <v>0.25</v>
      </c>
    </row>
    <row r="72" spans="1:6" x14ac:dyDescent="0.2">
      <c r="A72" s="1">
        <v>43799</v>
      </c>
      <c r="B72">
        <v>5.54</v>
      </c>
      <c r="C72" s="3">
        <v>5.21</v>
      </c>
      <c r="D72">
        <f t="shared" si="2"/>
        <v>0.33000000000000007</v>
      </c>
      <c r="E72" s="3">
        <v>5.0884214614707899</v>
      </c>
      <c r="F72">
        <f t="shared" si="3"/>
        <v>0.25</v>
      </c>
    </row>
    <row r="73" spans="1:6" x14ac:dyDescent="0.2">
      <c r="A73" s="1">
        <v>43830</v>
      </c>
      <c r="B73">
        <v>7.35</v>
      </c>
      <c r="C73" s="3">
        <v>6.65</v>
      </c>
      <c r="D73">
        <f t="shared" si="2"/>
        <v>0.69999999999999929</v>
      </c>
      <c r="E73" s="3">
        <v>5.0092838078768169</v>
      </c>
      <c r="F73">
        <f t="shared" si="3"/>
        <v>0.33000000000000007</v>
      </c>
    </row>
    <row r="74" spans="1:6" x14ac:dyDescent="0.2">
      <c r="A74" s="1">
        <v>43861</v>
      </c>
      <c r="B74">
        <v>7.59</v>
      </c>
      <c r="C74" s="3">
        <v>7.36</v>
      </c>
      <c r="D74">
        <f t="shared" si="2"/>
        <v>0.22999999999999954</v>
      </c>
      <c r="E74" s="3">
        <v>5.1796163883122457</v>
      </c>
      <c r="F74">
        <f t="shared" si="3"/>
        <v>0.69999999999999929</v>
      </c>
    </row>
    <row r="75" spans="1:6" x14ac:dyDescent="0.2">
      <c r="A75" s="1">
        <v>43890</v>
      </c>
      <c r="B75">
        <v>6.58</v>
      </c>
      <c r="C75" s="3">
        <v>6.75</v>
      </c>
      <c r="D75">
        <f t="shared" si="2"/>
        <v>-0.16999999999999993</v>
      </c>
      <c r="E75" s="3">
        <v>5.2683031384580854</v>
      </c>
      <c r="F75">
        <f t="shared" si="3"/>
        <v>0.22999999999999954</v>
      </c>
    </row>
    <row r="76" spans="1:6" x14ac:dyDescent="0.2">
      <c r="A76" s="1">
        <v>43921</v>
      </c>
      <c r="B76">
        <v>5.84</v>
      </c>
      <c r="C76" s="3">
        <v>5.89</v>
      </c>
      <c r="D76">
        <f t="shared" si="2"/>
        <v>-4.9999999999999822E-2</v>
      </c>
      <c r="E76" s="3">
        <v>5.3514391823340386</v>
      </c>
      <c r="F76">
        <f t="shared" si="3"/>
        <v>-0.16999999999999993</v>
      </c>
    </row>
    <row r="77" spans="1:6" x14ac:dyDescent="0.2">
      <c r="A77" s="1">
        <v>44012</v>
      </c>
      <c r="B77">
        <v>6.23</v>
      </c>
      <c r="C77" s="3">
        <v>5.19</v>
      </c>
      <c r="D77">
        <f t="shared" si="2"/>
        <v>1.04</v>
      </c>
      <c r="E77" s="3">
        <v>5.0935626070389901</v>
      </c>
      <c r="F77">
        <f t="shared" si="3"/>
        <v>-4.9999999999999822E-2</v>
      </c>
    </row>
    <row r="78" spans="1:6" x14ac:dyDescent="0.2">
      <c r="A78" s="1">
        <v>44043</v>
      </c>
      <c r="B78">
        <v>6.73</v>
      </c>
      <c r="C78" s="3">
        <v>6.16</v>
      </c>
      <c r="D78">
        <f t="shared" si="2"/>
        <v>0.57000000000000028</v>
      </c>
      <c r="E78" s="3">
        <v>5.0086883656394212</v>
      </c>
      <c r="F78">
        <f t="shared" si="3"/>
        <v>1.04</v>
      </c>
    </row>
    <row r="79" spans="1:6" x14ac:dyDescent="0.2">
      <c r="A79" s="1">
        <v>44074</v>
      </c>
      <c r="B79">
        <v>6.69</v>
      </c>
      <c r="C79" s="3">
        <v>6.87</v>
      </c>
      <c r="D79">
        <f t="shared" si="2"/>
        <v>-0.17999999999999972</v>
      </c>
      <c r="E79" s="3">
        <v>5.1202277846474669</v>
      </c>
      <c r="F79">
        <f t="shared" si="3"/>
        <v>0.57000000000000028</v>
      </c>
    </row>
    <row r="80" spans="1:6" x14ac:dyDescent="0.2">
      <c r="A80" s="1">
        <v>44104</v>
      </c>
      <c r="B80">
        <v>7.27</v>
      </c>
      <c r="C80" s="3">
        <v>6.87</v>
      </c>
      <c r="D80">
        <f t="shared" si="2"/>
        <v>0.39999999999999947</v>
      </c>
      <c r="E80" s="3">
        <v>5.215660694928502</v>
      </c>
      <c r="F80">
        <f t="shared" si="3"/>
        <v>-0.17999999999999972</v>
      </c>
    </row>
    <row r="81" spans="1:6" x14ac:dyDescent="0.2">
      <c r="A81" s="1">
        <v>44135</v>
      </c>
      <c r="B81">
        <v>7.61</v>
      </c>
      <c r="C81" s="3">
        <v>7.26</v>
      </c>
      <c r="D81">
        <f t="shared" si="2"/>
        <v>0.35000000000000053</v>
      </c>
      <c r="E81" s="3">
        <v>5.1743535607188944</v>
      </c>
      <c r="F81">
        <f t="shared" si="3"/>
        <v>0.39999999999999947</v>
      </c>
    </row>
    <row r="82" spans="1:6" x14ac:dyDescent="0.2">
      <c r="A82" s="1">
        <v>44165</v>
      </c>
      <c r="B82">
        <v>6.93</v>
      </c>
      <c r="C82" s="3">
        <v>7.14</v>
      </c>
      <c r="D82">
        <f t="shared" si="2"/>
        <v>-0.20999999999999996</v>
      </c>
      <c r="E82" s="3">
        <v>5.1923113382796631</v>
      </c>
      <c r="F82">
        <f t="shared" si="3"/>
        <v>0.35000000000000053</v>
      </c>
    </row>
    <row r="83" spans="1:6" x14ac:dyDescent="0.2">
      <c r="A83" s="1">
        <v>44196</v>
      </c>
      <c r="B83">
        <v>4.59</v>
      </c>
      <c r="C83" s="3">
        <v>5.13</v>
      </c>
      <c r="D83">
        <f t="shared" si="2"/>
        <v>-0.54</v>
      </c>
      <c r="E83" s="3">
        <v>5.2544282017569248</v>
      </c>
      <c r="F83">
        <f t="shared" si="3"/>
        <v>-0.20999999999999996</v>
      </c>
    </row>
    <row r="84" spans="1:6" x14ac:dyDescent="0.2">
      <c r="A84" s="1">
        <v>44227</v>
      </c>
      <c r="B84">
        <v>4.0599999999999996</v>
      </c>
      <c r="C84" s="3">
        <v>4.43</v>
      </c>
      <c r="D84">
        <f t="shared" si="2"/>
        <v>-0.37000000000000011</v>
      </c>
      <c r="E84" s="3">
        <v>5.2272953248555281</v>
      </c>
      <c r="F84">
        <f t="shared" si="3"/>
        <v>-0.54</v>
      </c>
    </row>
    <row r="85" spans="1:6" x14ac:dyDescent="0.2">
      <c r="A85" s="1">
        <v>44255</v>
      </c>
      <c r="B85">
        <v>5.03</v>
      </c>
      <c r="C85" s="3">
        <v>4.92</v>
      </c>
      <c r="D85">
        <f t="shared" si="2"/>
        <v>0.11000000000000032</v>
      </c>
      <c r="E85" s="3">
        <v>5.0243368362400842</v>
      </c>
      <c r="F85">
        <f t="shared" si="3"/>
        <v>-0.37000000000000011</v>
      </c>
    </row>
    <row r="86" spans="1:6" x14ac:dyDescent="0.2">
      <c r="A86" s="1">
        <v>44286</v>
      </c>
      <c r="B86">
        <v>5.52</v>
      </c>
      <c r="C86" s="3">
        <v>5.41</v>
      </c>
      <c r="D86">
        <f t="shared" si="2"/>
        <v>0.10999999999999943</v>
      </c>
      <c r="E86" s="3">
        <v>4.9738253680551772</v>
      </c>
      <c r="F86">
        <f t="shared" si="3"/>
        <v>0.11000000000000032</v>
      </c>
    </row>
    <row r="87" spans="1:6" x14ac:dyDescent="0.2">
      <c r="A87" s="1">
        <v>44316</v>
      </c>
      <c r="B87">
        <v>4.2300000000000004</v>
      </c>
      <c r="C87" s="3">
        <v>4.26</v>
      </c>
      <c r="D87">
        <f t="shared" si="2"/>
        <v>-2.9999999999999361E-2</v>
      </c>
      <c r="E87" s="3">
        <v>5.155562705040813</v>
      </c>
      <c r="F87">
        <f t="shared" si="3"/>
        <v>0.10999999999999943</v>
      </c>
    </row>
    <row r="88" spans="1:6" x14ac:dyDescent="0.2">
      <c r="A88" s="1">
        <v>44347</v>
      </c>
      <c r="B88">
        <v>6.3</v>
      </c>
      <c r="C88" s="3">
        <v>5.37</v>
      </c>
      <c r="D88">
        <f t="shared" si="2"/>
        <v>0.92999999999999972</v>
      </c>
      <c r="E88" s="3">
        <v>5.2717531067953063</v>
      </c>
      <c r="F88">
        <f t="shared" si="3"/>
        <v>-2.9999999999999361E-2</v>
      </c>
    </row>
    <row r="89" spans="1:6" x14ac:dyDescent="0.2">
      <c r="A89" s="1">
        <v>44377</v>
      </c>
      <c r="B89">
        <v>6.26</v>
      </c>
      <c r="C89" s="3">
        <v>6.49</v>
      </c>
      <c r="D89">
        <f t="shared" si="2"/>
        <v>-0.23000000000000043</v>
      </c>
      <c r="E89" s="3">
        <v>5.174254425168785</v>
      </c>
      <c r="F89">
        <f t="shared" si="3"/>
        <v>0.92999999999999972</v>
      </c>
    </row>
    <row r="90" spans="1:6" x14ac:dyDescent="0.2">
      <c r="A90" s="1">
        <v>44408</v>
      </c>
      <c r="B90">
        <v>5.59</v>
      </c>
      <c r="C90" s="3">
        <v>5.73</v>
      </c>
      <c r="D90">
        <f t="shared" si="2"/>
        <v>-0.14000000000000057</v>
      </c>
      <c r="E90" s="3">
        <v>5.4431969546267123</v>
      </c>
      <c r="F90">
        <f t="shared" si="3"/>
        <v>-0.23000000000000043</v>
      </c>
    </row>
    <row r="91" spans="1:6" x14ac:dyDescent="0.2">
      <c r="A91" s="1">
        <v>44439</v>
      </c>
      <c r="B91">
        <v>5.3</v>
      </c>
      <c r="C91" s="3">
        <v>5.61</v>
      </c>
      <c r="D91">
        <f t="shared" si="2"/>
        <v>-0.3100000000000005</v>
      </c>
      <c r="E91" s="3">
        <v>5.3532954063058567</v>
      </c>
      <c r="F91">
        <f t="shared" si="3"/>
        <v>-0.14000000000000057</v>
      </c>
    </row>
    <row r="92" spans="1:6" x14ac:dyDescent="0.2">
      <c r="A92" s="1">
        <v>44469</v>
      </c>
      <c r="B92">
        <v>4.3499999999999996</v>
      </c>
      <c r="C92" s="3">
        <v>4.53</v>
      </c>
      <c r="D92">
        <f t="shared" si="2"/>
        <v>-0.1800000000000006</v>
      </c>
      <c r="E92" s="3">
        <v>5.2368830342080894</v>
      </c>
      <c r="F92">
        <f t="shared" si="3"/>
        <v>-0.3100000000000005</v>
      </c>
    </row>
    <row r="93" spans="1:6" x14ac:dyDescent="0.2">
      <c r="A93" s="1">
        <v>44500</v>
      </c>
      <c r="B93">
        <v>4.4800000000000004</v>
      </c>
      <c r="C93" s="3">
        <v>4.38</v>
      </c>
      <c r="D93">
        <f t="shared" si="2"/>
        <v>0.10000000000000053</v>
      </c>
      <c r="E93" s="3">
        <v>5.2875109854147322</v>
      </c>
      <c r="F93">
        <f t="shared" si="3"/>
        <v>-0.1800000000000006</v>
      </c>
    </row>
    <row r="94" spans="1:6" x14ac:dyDescent="0.2">
      <c r="A94" s="1">
        <v>44530</v>
      </c>
      <c r="B94">
        <v>4.91</v>
      </c>
      <c r="C94" s="3">
        <v>5.05</v>
      </c>
      <c r="D94">
        <f t="shared" si="2"/>
        <v>-0.13999999999999968</v>
      </c>
      <c r="E94" s="3">
        <v>5.1446459208773136</v>
      </c>
      <c r="F94">
        <f t="shared" si="3"/>
        <v>0.10000000000000053</v>
      </c>
    </row>
    <row r="95" spans="1:6" x14ac:dyDescent="0.2">
      <c r="A95" s="1">
        <v>44561</v>
      </c>
      <c r="B95">
        <v>5.66</v>
      </c>
      <c r="C95" s="3">
        <v>5.72</v>
      </c>
      <c r="D95">
        <f t="shared" si="2"/>
        <v>-5.9999999999999609E-2</v>
      </c>
      <c r="E95" s="3">
        <v>5.2009413191091856</v>
      </c>
      <c r="F95">
        <f t="shared" si="3"/>
        <v>-0.13999999999999968</v>
      </c>
    </row>
    <row r="96" spans="1:6" x14ac:dyDescent="0.2">
      <c r="A96" s="1">
        <v>44592</v>
      </c>
      <c r="B96">
        <v>6.01</v>
      </c>
      <c r="C96" s="3">
        <v>6</v>
      </c>
      <c r="D96">
        <f t="shared" si="2"/>
        <v>9.9999999999997868E-3</v>
      </c>
      <c r="E96" s="3">
        <v>5.382123919384358</v>
      </c>
      <c r="F96">
        <f t="shared" si="3"/>
        <v>-5.9999999999999609E-2</v>
      </c>
    </row>
    <row r="97" spans="1:6" x14ac:dyDescent="0.2">
      <c r="A97" s="1">
        <v>44620</v>
      </c>
      <c r="B97">
        <v>6.07</v>
      </c>
      <c r="C97" s="3">
        <v>5.98</v>
      </c>
      <c r="D97">
        <f t="shared" si="2"/>
        <v>8.9999999999999858E-2</v>
      </c>
      <c r="E97" s="3">
        <v>5.3980391830680663</v>
      </c>
      <c r="F97">
        <f t="shared" si="3"/>
        <v>9.9999999999997868E-3</v>
      </c>
    </row>
    <row r="98" spans="1:6" x14ac:dyDescent="0.2">
      <c r="A98" s="1">
        <v>44651</v>
      </c>
      <c r="B98">
        <v>6.95</v>
      </c>
      <c r="C98" s="3">
        <v>6.38</v>
      </c>
      <c r="D98">
        <f t="shared" si="2"/>
        <v>0.57000000000000028</v>
      </c>
      <c r="E98" s="3">
        <v>5.4260062469731221</v>
      </c>
      <c r="F98">
        <f t="shared" si="3"/>
        <v>8.9999999999999858E-2</v>
      </c>
    </row>
    <row r="99" spans="1:6" x14ac:dyDescent="0.2">
      <c r="A99" s="1">
        <v>44681</v>
      </c>
      <c r="B99">
        <v>7.79</v>
      </c>
      <c r="C99" s="3">
        <v>7.41</v>
      </c>
      <c r="D99">
        <f t="shared" si="2"/>
        <v>0.37999999999999989</v>
      </c>
      <c r="E99" s="3">
        <v>5.3719495712737491</v>
      </c>
      <c r="F99">
        <f t="shared" si="3"/>
        <v>0.57000000000000028</v>
      </c>
    </row>
    <row r="100" spans="1:6" x14ac:dyDescent="0.2">
      <c r="A100" s="1">
        <v>44712</v>
      </c>
      <c r="B100">
        <v>7.04</v>
      </c>
      <c r="C100" s="3">
        <v>7.13</v>
      </c>
      <c r="D100">
        <f t="shared" si="2"/>
        <v>-8.9999999999999858E-2</v>
      </c>
      <c r="E100" s="3">
        <v>5.4108868631641416</v>
      </c>
      <c r="F100">
        <f t="shared" si="3"/>
        <v>0.37999999999999989</v>
      </c>
    </row>
    <row r="101" spans="1:6" x14ac:dyDescent="0.2">
      <c r="A101" s="1">
        <v>44742</v>
      </c>
      <c r="B101">
        <v>7.01</v>
      </c>
      <c r="C101" s="3">
        <v>7.07</v>
      </c>
      <c r="D101">
        <f t="shared" si="2"/>
        <v>-6.0000000000000497E-2</v>
      </c>
      <c r="E101" s="3">
        <v>5.3046621583586262</v>
      </c>
      <c r="F101">
        <f t="shared" si="3"/>
        <v>-8.9999999999999858E-2</v>
      </c>
    </row>
    <row r="102" spans="1:6" x14ac:dyDescent="0.2">
      <c r="A102" s="1">
        <v>44773</v>
      </c>
      <c r="B102">
        <v>6.71</v>
      </c>
      <c r="C102" s="3">
        <v>6.74</v>
      </c>
      <c r="D102">
        <f t="shared" si="2"/>
        <v>-3.0000000000000249E-2</v>
      </c>
      <c r="E102" s="3">
        <v>5.2928448849009362</v>
      </c>
      <c r="F102">
        <f t="shared" si="3"/>
        <v>-6.0000000000000497E-2</v>
      </c>
    </row>
    <row r="103" spans="1:6" x14ac:dyDescent="0.2">
      <c r="A103" s="1">
        <v>44804</v>
      </c>
      <c r="B103">
        <v>7</v>
      </c>
      <c r="C103" s="3">
        <v>6.89</v>
      </c>
      <c r="D103">
        <f t="shared" si="2"/>
        <v>0.11000000000000032</v>
      </c>
      <c r="E103" s="3">
        <v>5.1867558965176084</v>
      </c>
      <c r="F103">
        <f t="shared" si="3"/>
        <v>-3.0000000000000249E-2</v>
      </c>
    </row>
    <row r="104" spans="1:6" x14ac:dyDescent="0.2">
      <c r="A104" s="1">
        <v>44834</v>
      </c>
      <c r="B104">
        <v>7.41</v>
      </c>
      <c r="C104" s="3">
        <v>7.32</v>
      </c>
      <c r="D104">
        <f t="shared" si="2"/>
        <v>8.9999999999999858E-2</v>
      </c>
      <c r="E104" s="3">
        <v>5.1578408804581093</v>
      </c>
      <c r="F104">
        <f t="shared" si="3"/>
        <v>0.11000000000000032</v>
      </c>
    </row>
    <row r="105" spans="1:6" x14ac:dyDescent="0.2">
      <c r="A105" s="1">
        <v>44865</v>
      </c>
      <c r="B105">
        <v>6.77</v>
      </c>
      <c r="C105" s="3">
        <v>6.77</v>
      </c>
      <c r="D105">
        <f t="shared" si="2"/>
        <v>0</v>
      </c>
      <c r="E105" s="3">
        <v>5.3495060067110431</v>
      </c>
      <c r="F105">
        <f t="shared" si="3"/>
        <v>8.9999999999999858E-2</v>
      </c>
    </row>
    <row r="106" spans="1:6" x14ac:dyDescent="0.2">
      <c r="A106" s="1">
        <v>44895</v>
      </c>
      <c r="B106">
        <v>5.88</v>
      </c>
      <c r="C106" s="3">
        <v>6.34</v>
      </c>
      <c r="D106">
        <f t="shared" si="2"/>
        <v>-0.45999999999999996</v>
      </c>
      <c r="E106" s="3">
        <v>5.3541195947435476</v>
      </c>
      <c r="F106">
        <f t="shared" si="3"/>
        <v>0</v>
      </c>
    </row>
    <row r="107" spans="1:6" x14ac:dyDescent="0.2">
      <c r="A107" s="1">
        <v>44926</v>
      </c>
      <c r="B107">
        <v>5.72</v>
      </c>
      <c r="C107" s="3">
        <v>5.86</v>
      </c>
      <c r="D107">
        <f t="shared" si="2"/>
        <v>-0.14000000000000057</v>
      </c>
      <c r="E107" s="3">
        <v>5.3105372814709648</v>
      </c>
      <c r="F107">
        <f t="shared" si="3"/>
        <v>-0.45999999999999996</v>
      </c>
    </row>
    <row r="108" spans="1:6" x14ac:dyDescent="0.2">
      <c r="A108" s="1">
        <v>44957</v>
      </c>
      <c r="B108">
        <v>6.52</v>
      </c>
      <c r="C108" s="3">
        <v>5.99</v>
      </c>
      <c r="D108">
        <f t="shared" si="2"/>
        <v>0.52999999999999936</v>
      </c>
      <c r="E108" s="3">
        <v>5.1746278396871004</v>
      </c>
      <c r="F108">
        <f t="shared" si="3"/>
        <v>-0.14000000000000057</v>
      </c>
    </row>
    <row r="109" spans="1:6" x14ac:dyDescent="0.2">
      <c r="A109" s="1">
        <v>44985</v>
      </c>
      <c r="B109">
        <v>6.44</v>
      </c>
      <c r="C109" s="3">
        <v>6.37</v>
      </c>
      <c r="D109">
        <f t="shared" si="2"/>
        <v>7.0000000000000284E-2</v>
      </c>
      <c r="E109" s="3">
        <v>5.1418207923086694</v>
      </c>
      <c r="F109">
        <f t="shared" si="3"/>
        <v>0.52999999999999936</v>
      </c>
    </row>
    <row r="110" spans="1:6" x14ac:dyDescent="0.2">
      <c r="A110" s="1">
        <v>45016</v>
      </c>
      <c r="B110">
        <v>5.66</v>
      </c>
      <c r="C110" s="3">
        <v>5.76</v>
      </c>
      <c r="D110">
        <f t="shared" si="2"/>
        <v>-9.9999999999999645E-2</v>
      </c>
      <c r="E110" s="3">
        <v>5.1398835571982309</v>
      </c>
      <c r="F110">
        <f t="shared" si="3"/>
        <v>7.0000000000000284E-2</v>
      </c>
    </row>
    <row r="111" spans="1:6" x14ac:dyDescent="0.2">
      <c r="A111" s="1">
        <v>45046</v>
      </c>
      <c r="B111">
        <v>4.7</v>
      </c>
      <c r="C111" s="3">
        <v>4.8</v>
      </c>
      <c r="D111">
        <f t="shared" si="2"/>
        <v>-9.9999999999999645E-2</v>
      </c>
      <c r="E111" s="3">
        <v>5.1700996991246644</v>
      </c>
      <c r="F111">
        <f t="shared" si="3"/>
        <v>-9.9999999999999645E-2</v>
      </c>
    </row>
    <row r="112" spans="1:6" x14ac:dyDescent="0.2">
      <c r="A112" s="1">
        <v>45077</v>
      </c>
      <c r="B112">
        <v>4.3099999999999996</v>
      </c>
      <c r="C112" s="3">
        <v>4.3600000000000003</v>
      </c>
      <c r="D112">
        <f t="shared" si="2"/>
        <v>-5.0000000000000711E-2</v>
      </c>
      <c r="E112" s="3">
        <v>5.0673160349948798</v>
      </c>
      <c r="F112">
        <f t="shared" si="3"/>
        <v>-9.9999999999999645E-2</v>
      </c>
    </row>
    <row r="113" spans="1:6" x14ac:dyDescent="0.2">
      <c r="A113" s="1">
        <v>45107</v>
      </c>
      <c r="B113">
        <v>4.87</v>
      </c>
      <c r="C113" s="3">
        <v>4.58</v>
      </c>
      <c r="D113">
        <f t="shared" si="2"/>
        <v>0.29000000000000004</v>
      </c>
      <c r="E113" s="3">
        <v>5.0128226965546574</v>
      </c>
      <c r="F113">
        <f t="shared" si="3"/>
        <v>-5.0000000000000711E-2</v>
      </c>
    </row>
    <row r="114" spans="1:6" x14ac:dyDescent="0.2">
      <c r="A114" s="1">
        <v>45138</v>
      </c>
      <c r="B114">
        <v>7.44</v>
      </c>
      <c r="C114" s="3">
        <v>6.42</v>
      </c>
      <c r="D114">
        <f t="shared" si="2"/>
        <v>1.0200000000000005</v>
      </c>
      <c r="E114" s="3">
        <v>4.9431607722836626</v>
      </c>
      <c r="F114">
        <f t="shared" si="3"/>
        <v>0.29000000000000004</v>
      </c>
    </row>
    <row r="115" spans="1:6" x14ac:dyDescent="0.2">
      <c r="A115" s="1">
        <v>45169</v>
      </c>
      <c r="B115">
        <v>6.83</v>
      </c>
      <c r="C115" s="3">
        <v>7.1</v>
      </c>
      <c r="D115">
        <f t="shared" si="2"/>
        <v>-0.26999999999999957</v>
      </c>
      <c r="E115" s="3">
        <v>4.9741223249729591</v>
      </c>
      <c r="F115">
        <f t="shared" si="3"/>
        <v>1.0200000000000005</v>
      </c>
    </row>
    <row r="116" spans="1:6" x14ac:dyDescent="0.2">
      <c r="A116" s="1">
        <v>45199</v>
      </c>
      <c r="B116">
        <v>5.0199999999999996</v>
      </c>
      <c r="C116" s="3">
        <v>5.45</v>
      </c>
      <c r="D116">
        <f t="shared" si="2"/>
        <v>-0.4300000000000006</v>
      </c>
      <c r="E116" s="3">
        <v>5.3501568841797447</v>
      </c>
      <c r="F116">
        <f t="shared" si="3"/>
        <v>-0.26999999999999957</v>
      </c>
    </row>
    <row r="117" spans="1:6" x14ac:dyDescent="0.2">
      <c r="A117" s="1">
        <v>45230</v>
      </c>
      <c r="B117">
        <v>4.87</v>
      </c>
      <c r="C117" s="3">
        <v>4.79</v>
      </c>
      <c r="D117">
        <f t="shared" si="2"/>
        <v>8.0000000000000071E-2</v>
      </c>
      <c r="E117" s="3">
        <v>5.323830084760008</v>
      </c>
      <c r="F117">
        <f t="shared" si="3"/>
        <v>-0.4300000000000006</v>
      </c>
    </row>
    <row r="118" spans="1:6" x14ac:dyDescent="0.2">
      <c r="A118" s="1">
        <v>45260</v>
      </c>
      <c r="B118">
        <v>5.55</v>
      </c>
      <c r="C118" s="3">
        <v>5.76</v>
      </c>
      <c r="D118">
        <f t="shared" si="2"/>
        <v>-0.20999999999999996</v>
      </c>
      <c r="E118" s="3">
        <v>5.091927222480602</v>
      </c>
      <c r="F118">
        <f t="shared" si="3"/>
        <v>8.0000000000000071E-2</v>
      </c>
    </row>
    <row r="119" spans="1:6" x14ac:dyDescent="0.2">
      <c r="A119" s="1">
        <v>45291</v>
      </c>
      <c r="B119">
        <v>5.69</v>
      </c>
      <c r="C119" s="3">
        <v>5.85</v>
      </c>
      <c r="D119">
        <f t="shared" si="2"/>
        <v>-0.15999999999999925</v>
      </c>
      <c r="E119" s="3">
        <v>5.0716686116059044</v>
      </c>
      <c r="F119">
        <f t="shared" si="3"/>
        <v>-0.20999999999999996</v>
      </c>
    </row>
    <row r="120" spans="1:6" x14ac:dyDescent="0.2">
      <c r="A120" s="1">
        <v>45322</v>
      </c>
      <c r="B120">
        <v>5.0999999999999996</v>
      </c>
      <c r="C120" s="3">
        <v>5.0199999999999996</v>
      </c>
      <c r="D120">
        <f t="shared" si="2"/>
        <v>8.0000000000000071E-2</v>
      </c>
      <c r="E120" s="3">
        <v>5.132761487981254</v>
      </c>
      <c r="F120">
        <f t="shared" si="3"/>
        <v>-0.15999999999999925</v>
      </c>
    </row>
    <row r="121" spans="1:6" x14ac:dyDescent="0.2">
      <c r="A121" s="1">
        <v>45351</v>
      </c>
      <c r="B121">
        <v>5.09</v>
      </c>
      <c r="C121" s="3">
        <v>5.04</v>
      </c>
      <c r="D121">
        <f t="shared" si="2"/>
        <v>4.9999999999999822E-2</v>
      </c>
      <c r="E121" s="3">
        <v>5.100867612098182</v>
      </c>
      <c r="F121">
        <f t="shared" si="3"/>
        <v>8.0000000000000071E-2</v>
      </c>
    </row>
    <row r="122" spans="1:6" x14ac:dyDescent="0.2">
      <c r="A122" s="1">
        <v>45382</v>
      </c>
      <c r="B122">
        <v>4.8499999999999996</v>
      </c>
      <c r="C122" s="3">
        <v>4.93</v>
      </c>
      <c r="D122">
        <f t="shared" si="2"/>
        <v>-8.0000000000000071E-2</v>
      </c>
      <c r="E122" s="3">
        <v>5.0110838757711083</v>
      </c>
      <c r="F122">
        <f t="shared" si="3"/>
        <v>4.9999999999999822E-2</v>
      </c>
    </row>
    <row r="123" spans="1:6" x14ac:dyDescent="0.2">
      <c r="A123" s="1">
        <v>45412</v>
      </c>
      <c r="B123">
        <v>4.83</v>
      </c>
      <c r="C123" s="3">
        <v>4.83</v>
      </c>
      <c r="D123">
        <f t="shared" si="2"/>
        <v>0</v>
      </c>
      <c r="E123" s="3">
        <v>5.0613199899509951</v>
      </c>
      <c r="F123">
        <f t="shared" si="3"/>
        <v>-8.0000000000000071E-2</v>
      </c>
    </row>
    <row r="124" spans="1:6" x14ac:dyDescent="0.2">
      <c r="A124" s="1">
        <v>45443</v>
      </c>
      <c r="B124">
        <v>4.8</v>
      </c>
      <c r="C124" s="3">
        <v>4.84</v>
      </c>
      <c r="D124">
        <f t="shared" si="2"/>
        <v>-4.0000000000000036E-2</v>
      </c>
      <c r="E124" s="3">
        <v>4.9544988908512666</v>
      </c>
      <c r="F124">
        <f t="shared" si="3"/>
        <v>0</v>
      </c>
    </row>
    <row r="125" spans="1:6" x14ac:dyDescent="0.2">
      <c r="A125" s="1">
        <v>45473</v>
      </c>
      <c r="B125">
        <v>5.08</v>
      </c>
      <c r="C125" s="3">
        <v>4.79</v>
      </c>
      <c r="D125">
        <f t="shared" si="2"/>
        <v>0.29000000000000004</v>
      </c>
      <c r="E125" s="3">
        <v>4.9638683869003213</v>
      </c>
      <c r="F125">
        <f t="shared" si="3"/>
        <v>-4.0000000000000036E-2</v>
      </c>
    </row>
    <row r="126" spans="1:6" x14ac:dyDescent="0.2">
      <c r="A126" s="1">
        <v>45504</v>
      </c>
      <c r="B126">
        <v>3.6</v>
      </c>
      <c r="C126" s="3">
        <v>3.67</v>
      </c>
      <c r="D126">
        <f t="shared" si="2"/>
        <v>-6.999999999999984E-2</v>
      </c>
      <c r="E126" s="3">
        <v>4.9521162293338641</v>
      </c>
      <c r="F126">
        <f t="shared" si="3"/>
        <v>0.29000000000000004</v>
      </c>
    </row>
    <row r="127" spans="1:6" x14ac:dyDescent="0.2">
      <c r="A127" s="1">
        <v>45535</v>
      </c>
      <c r="B127">
        <v>3.65</v>
      </c>
      <c r="C127" s="3">
        <v>3.53</v>
      </c>
      <c r="D127">
        <f t="shared" si="2"/>
        <v>0.12000000000000011</v>
      </c>
      <c r="E127" s="3">
        <v>4.975112786823856</v>
      </c>
      <c r="F127">
        <f t="shared" si="3"/>
        <v>-6.999999999999984E-2</v>
      </c>
    </row>
    <row r="128" spans="1:6" x14ac:dyDescent="0.2">
      <c r="A128" s="1">
        <v>45565</v>
      </c>
      <c r="B128">
        <v>5.49</v>
      </c>
      <c r="C128" s="3">
        <v>5.0599999999999996</v>
      </c>
      <c r="D128">
        <f t="shared" si="2"/>
        <v>0.4300000000000006</v>
      </c>
      <c r="E128" s="3">
        <v>4.738360138499405</v>
      </c>
      <c r="F128">
        <f t="shared" si="3"/>
        <v>0.12000000000000011</v>
      </c>
    </row>
    <row r="129" spans="1:6" x14ac:dyDescent="0.2">
      <c r="A129" s="1">
        <v>45596</v>
      </c>
      <c r="B129">
        <v>6.21</v>
      </c>
      <c r="C129" s="3">
        <v>5.86</v>
      </c>
      <c r="D129">
        <f t="shared" ref="D129:D146" si="4">B129-C129</f>
        <v>0.34999999999999964</v>
      </c>
      <c r="E129" s="3">
        <v>4.7752157185622863</v>
      </c>
      <c r="F129">
        <f t="shared" si="3"/>
        <v>0.4300000000000006</v>
      </c>
    </row>
    <row r="130" spans="1:6" x14ac:dyDescent="0.2">
      <c r="A130" s="1">
        <v>45626</v>
      </c>
      <c r="B130">
        <v>5.48</v>
      </c>
      <c r="C130" s="3">
        <v>5.55</v>
      </c>
      <c r="D130">
        <f t="shared" si="4"/>
        <v>-6.9999999999999396E-2</v>
      </c>
      <c r="E130" s="3">
        <v>5.0194243713270037</v>
      </c>
      <c r="F130">
        <f t="shared" si="3"/>
        <v>0.34999999999999964</v>
      </c>
    </row>
    <row r="131" spans="1:6" x14ac:dyDescent="0.2">
      <c r="A131" s="1">
        <v>45657</v>
      </c>
      <c r="B131">
        <v>5.22</v>
      </c>
      <c r="C131" s="3">
        <v>5.29</v>
      </c>
      <c r="D131">
        <f t="shared" si="4"/>
        <v>-7.0000000000000284E-2</v>
      </c>
      <c r="E131" s="3">
        <v>5.1384759194331862</v>
      </c>
      <c r="F131">
        <f t="shared" si="3"/>
        <v>-6.9999999999999396E-2</v>
      </c>
    </row>
    <row r="132" spans="1:6" x14ac:dyDescent="0.2">
      <c r="A132" s="1">
        <v>45688</v>
      </c>
      <c r="B132">
        <v>4.0599999999999996</v>
      </c>
      <c r="C132" s="3">
        <v>4.57</v>
      </c>
      <c r="D132">
        <f t="shared" si="4"/>
        <v>-0.51000000000000068</v>
      </c>
      <c r="E132" s="3">
        <v>5.0105436580415237</v>
      </c>
      <c r="F132">
        <f t="shared" ref="F132:F146" si="5">D131</f>
        <v>-7.0000000000000284E-2</v>
      </c>
    </row>
    <row r="133" spans="1:6" x14ac:dyDescent="0.2">
      <c r="A133" s="1">
        <v>45716</v>
      </c>
      <c r="B133">
        <v>3.49</v>
      </c>
      <c r="C133" s="3">
        <v>3.96</v>
      </c>
      <c r="D133">
        <f t="shared" si="4"/>
        <v>-0.46999999999999975</v>
      </c>
      <c r="E133" s="3">
        <v>4.9760569198247486</v>
      </c>
      <c r="F133">
        <f t="shared" si="5"/>
        <v>-0.51000000000000068</v>
      </c>
    </row>
    <row r="134" spans="1:6" x14ac:dyDescent="0.2">
      <c r="A134" s="1">
        <v>45747</v>
      </c>
      <c r="B134">
        <v>3.56</v>
      </c>
      <c r="C134" s="3">
        <v>3.52</v>
      </c>
      <c r="D134">
        <f t="shared" si="4"/>
        <v>4.0000000000000036E-2</v>
      </c>
      <c r="E134" s="3">
        <v>4.8163413470560617</v>
      </c>
      <c r="F134">
        <f t="shared" si="5"/>
        <v>-0.46999999999999975</v>
      </c>
    </row>
    <row r="135" spans="1:6" x14ac:dyDescent="0.2">
      <c r="A135" s="1">
        <v>45777</v>
      </c>
      <c r="B135">
        <v>3.34</v>
      </c>
      <c r="C135" s="3">
        <v>3.18</v>
      </c>
      <c r="D135">
        <f t="shared" si="4"/>
        <v>0.1599999999999997</v>
      </c>
      <c r="E135" s="3">
        <v>4.6690850570918858</v>
      </c>
      <c r="F135">
        <f t="shared" si="5"/>
        <v>4.0000000000000036E-2</v>
      </c>
    </row>
    <row r="136" spans="1:6" x14ac:dyDescent="0.2">
      <c r="A136" s="1">
        <v>45808</v>
      </c>
      <c r="B136">
        <v>3.03</v>
      </c>
      <c r="C136" s="3">
        <v>2.96</v>
      </c>
      <c r="D136">
        <f t="shared" si="4"/>
        <v>6.999999999999984E-2</v>
      </c>
      <c r="E136" s="3">
        <v>4.6052768057648841</v>
      </c>
      <c r="F136">
        <f t="shared" si="5"/>
        <v>0.1599999999999997</v>
      </c>
    </row>
    <row r="137" spans="1:6" x14ac:dyDescent="0.2">
      <c r="A137" s="1">
        <v>45838</v>
      </c>
      <c r="B137">
        <v>2.31</v>
      </c>
      <c r="C137" s="3">
        <v>2.27</v>
      </c>
      <c r="D137">
        <f t="shared" si="4"/>
        <v>4.0000000000000036E-2</v>
      </c>
      <c r="E137" s="3">
        <v>4.676430460895614</v>
      </c>
      <c r="F137">
        <f t="shared" si="5"/>
        <v>6.999999999999984E-2</v>
      </c>
    </row>
    <row r="138" spans="1:6" x14ac:dyDescent="0.2">
      <c r="A138" s="1">
        <v>45869</v>
      </c>
      <c r="B138">
        <v>1.62</v>
      </c>
      <c r="C138" s="3">
        <v>1.4</v>
      </c>
      <c r="D138">
        <f t="shared" si="4"/>
        <v>0.2200000000000002</v>
      </c>
      <c r="E138" s="3">
        <v>4.6691728267233019</v>
      </c>
      <c r="F138">
        <f t="shared" si="5"/>
        <v>4.0000000000000036E-2</v>
      </c>
    </row>
    <row r="139" spans="1:6" x14ac:dyDescent="0.2">
      <c r="A139" s="1">
        <v>45900</v>
      </c>
      <c r="B139">
        <v>2.0099999999999998</v>
      </c>
      <c r="C139" s="3">
        <v>2.16</v>
      </c>
      <c r="D139">
        <f t="shared" si="4"/>
        <v>-0.15000000000000036</v>
      </c>
      <c r="E139" s="3">
        <v>4.694231914801656</v>
      </c>
      <c r="F139">
        <f t="shared" si="5"/>
        <v>0.2200000000000002</v>
      </c>
    </row>
    <row r="140" spans="1:6" x14ac:dyDescent="0.2">
      <c r="A140" s="1">
        <v>45930</v>
      </c>
      <c r="B140">
        <v>1.41</v>
      </c>
      <c r="C140" s="3">
        <v>1.53</v>
      </c>
      <c r="D140">
        <f t="shared" si="4"/>
        <v>-0.12000000000000011</v>
      </c>
      <c r="E140" s="3">
        <v>4.5846357722627769</v>
      </c>
      <c r="F140">
        <f t="shared" si="5"/>
        <v>-0.15000000000000036</v>
      </c>
    </row>
    <row r="141" spans="1:6" x14ac:dyDescent="0.2">
      <c r="A141" s="1">
        <v>45961</v>
      </c>
      <c r="B141">
        <v>0.04</v>
      </c>
      <c r="C141" s="3">
        <v>0.36</v>
      </c>
      <c r="D141">
        <f t="shared" si="4"/>
        <v>-0.32</v>
      </c>
      <c r="E141" s="3">
        <v>4.6626076318204559</v>
      </c>
      <c r="F141">
        <f t="shared" si="5"/>
        <v>-0.12000000000000011</v>
      </c>
    </row>
    <row r="142" spans="1:6" x14ac:dyDescent="0.2">
      <c r="A142" s="1">
        <v>45991</v>
      </c>
      <c r="B142">
        <v>0.49</v>
      </c>
      <c r="C142" s="3">
        <v>0.68</v>
      </c>
      <c r="D142">
        <f t="shared" si="4"/>
        <v>-0.19000000000000006</v>
      </c>
      <c r="E142" s="3">
        <v>4.583645038890956</v>
      </c>
      <c r="F142">
        <f t="shared" si="5"/>
        <v>-0.32</v>
      </c>
    </row>
    <row r="143" spans="1:6" x14ac:dyDescent="0.2">
      <c r="A143" s="1">
        <v>46022</v>
      </c>
      <c r="B143">
        <v>1.17</v>
      </c>
      <c r="C143" s="3">
        <v>1.53</v>
      </c>
      <c r="D143">
        <f t="shared" si="4"/>
        <v>-0.3600000000000001</v>
      </c>
      <c r="E143" s="3">
        <v>4.4631108708855258</v>
      </c>
      <c r="F143">
        <f t="shared" si="5"/>
        <v>-0.19000000000000006</v>
      </c>
    </row>
    <row r="144" spans="1:6" x14ac:dyDescent="0.2">
      <c r="A144" s="1">
        <v>46053</v>
      </c>
      <c r="B144">
        <v>2.74</v>
      </c>
      <c r="C144" s="3">
        <v>2.68</v>
      </c>
      <c r="D144">
        <f t="shared" si="4"/>
        <v>6.0000000000000053E-2</v>
      </c>
      <c r="E144" s="3">
        <v>4.7137837476012203</v>
      </c>
      <c r="F144">
        <f t="shared" si="5"/>
        <v>-0.3600000000000001</v>
      </c>
    </row>
    <row r="145" spans="1:6" x14ac:dyDescent="0.2">
      <c r="A145" s="1">
        <v>46081</v>
      </c>
      <c r="B145">
        <v>3.21</v>
      </c>
      <c r="C145" s="3">
        <v>3.14</v>
      </c>
      <c r="D145">
        <f t="shared" si="4"/>
        <v>6.999999999999984E-2</v>
      </c>
      <c r="E145" s="3">
        <v>4.8002508953804783</v>
      </c>
      <c r="F145">
        <f t="shared" si="5"/>
        <v>6.0000000000000053E-2</v>
      </c>
    </row>
    <row r="146" spans="1:6" x14ac:dyDescent="0.2">
      <c r="A146" s="1">
        <v>46112</v>
      </c>
      <c r="B146">
        <v>3.4</v>
      </c>
      <c r="C146" s="3">
        <v>3.44</v>
      </c>
      <c r="D146">
        <f t="shared" si="4"/>
        <v>-4.0000000000000036E-2</v>
      </c>
      <c r="E146" s="3">
        <v>4.9896483012962749</v>
      </c>
      <c r="F146">
        <f t="shared" si="5"/>
        <v>6.999999999999984E-2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MPD, FMS Engineer</dc:creator>
  <cp:lastModifiedBy>Amit Pawar</cp:lastModifiedBy>
  <dcterms:created xsi:type="dcterms:W3CDTF">2026-05-04T10:03:21Z</dcterms:created>
  <dcterms:modified xsi:type="dcterms:W3CDTF">2026-05-04T10:40:42Z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</Properties>
</file>