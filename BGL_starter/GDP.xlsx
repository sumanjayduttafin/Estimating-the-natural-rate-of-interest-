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atabase of long series of Macro variables\"/>
    </mc:Choice>
  </mc:AlternateContent>
  <xr:revisionPtr revIDLastSave="0" documentId="13_ncr:1_{512C31F7-E3D7-46F3-B346-551263514EB8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heet1" sheetId="1" state="hidden" r:id="rId1"/>
    <sheet name="Sheet2" sheetId="2" state="hidden" r:id="rId2"/>
    <sheet name="Sheet3" sheetId="3" state="hidden" r:id="rId3"/>
    <sheet name="log.GDP.S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2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I34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H75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2" i="2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<sst xmlns="http://schemas.openxmlformats.org/spreadsheetml/2006/main" count="684" uniqueCount="205">
  <si>
    <t>Industry/ Year</t>
  </si>
  <si>
    <t>Quarter</t>
  </si>
  <si>
    <t>YearQ</t>
  </si>
  <si>
    <t>2011-12 base</t>
  </si>
  <si>
    <t>1996-97</t>
  </si>
  <si>
    <t>Q1</t>
  </si>
  <si>
    <t xml:space="preserve">1996-97   </t>
  </si>
  <si>
    <t>Q2</t>
  </si>
  <si>
    <t>Q3</t>
  </si>
  <si>
    <t>Q4</t>
  </si>
  <si>
    <t xml:space="preserve">1997-98   </t>
  </si>
  <si>
    <t xml:space="preserve">1998-99   </t>
  </si>
  <si>
    <t xml:space="preserve">1999-00   </t>
  </si>
  <si>
    <t xml:space="preserve">2000-01   </t>
  </si>
  <si>
    <t xml:space="preserve">2001-02   </t>
  </si>
  <si>
    <t xml:space="preserve">2002-03   </t>
  </si>
  <si>
    <t xml:space="preserve">2003-04   </t>
  </si>
  <si>
    <t xml:space="preserve">2004-05   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</si>
  <si>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</si>
  <si>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</si>
  <si>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</si>
  <si>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</si>
  <si>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</si>
  <si>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</si>
  <si>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</si>
  <si>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</si>
  <si>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</si>
  <si>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</si>
  <si>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</si>
  <si>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</si>
  <si>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</si>
  <si>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</si>
  <si>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</si>
  <si>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</si>
  <si>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</si>
  <si>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</si>
  <si>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>﻿</t>
  </si>
  <si>
    <t>NAS 2011-2012: Gross Domestic Product: 2011-2012p: Quarterly: At Market Price</t>
  </si>
  <si>
    <t>Region</t>
  </si>
  <si>
    <t>India</t>
  </si>
  <si>
    <t>Subnational</t>
  </si>
  <si>
    <t>Frequency</t>
  </si>
  <si>
    <t>Quarterly, ending "Mar, June, Sep, Dec"</t>
  </si>
  <si>
    <t>Unit</t>
  </si>
  <si>
    <t>INR mn</t>
  </si>
  <si>
    <t>Source</t>
  </si>
  <si>
    <t>Ministry of Statistics and Programme Implementation</t>
  </si>
  <si>
    <t>Status</t>
  </si>
  <si>
    <t>Active</t>
  </si>
  <si>
    <t>Series ID</t>
  </si>
  <si>
    <t>365384367 (IAZDHAAAAAADTZ)</t>
  </si>
  <si>
    <t>SR Code</t>
  </si>
  <si>
    <t>SR87500827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</si>
  <si>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</si>
  <si>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</si>
  <si>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</si>
  <si>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</si>
  <si>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</si>
  <si>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</si>
  <si>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</si>
  <si>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</si>
  <si>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</si>
  <si>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</si>
  <si>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</si>
  <si>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</si>
  <si>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</si>
  <si>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</si>
  <si>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</si>
  <si>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</si>
  <si>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</si>
  <si>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</si>
  <si>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</si>
  <si>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</si>
  <si>
    <t>2004-05</t>
  </si>
  <si>
    <t>05</t>
  </si>
  <si>
    <t>04</t>
  </si>
  <si>
    <t>03</t>
  </si>
  <si>
    <t>02</t>
  </si>
  <si>
    <t>01</t>
  </si>
  <si>
    <t>00</t>
  </si>
  <si>
    <t>99</t>
  </si>
  <si>
    <t>98</t>
  </si>
  <si>
    <t>97</t>
  </si>
  <si>
    <t>2005-06    Q1</t>
  </si>
  <si>
    <t>2005-06    Q2</t>
  </si>
  <si>
    <t>2005-06    Q3</t>
  </si>
  <si>
    <t>2005-06    Q4</t>
  </si>
  <si>
    <t>2006-07    Q1</t>
  </si>
  <si>
    <t>2006-07    Q2</t>
  </si>
  <si>
    <t>2006-07    Q3</t>
  </si>
  <si>
    <t>2006-07    Q4</t>
  </si>
  <si>
    <t>2007-08    Q1</t>
  </si>
  <si>
    <t>2007-08    Q2</t>
  </si>
  <si>
    <t>2007-08    Q3</t>
  </si>
  <si>
    <t>2007-08    Q4</t>
  </si>
  <si>
    <t>2008-09    Q1</t>
  </si>
  <si>
    <t>2008-09    Q2</t>
  </si>
  <si>
    <t>2008-09    Q3</t>
  </si>
  <si>
    <t>2008-09    Q4</t>
  </si>
  <si>
    <t>2009-10    Q1</t>
  </si>
  <si>
    <t>2009-10    Q2</t>
  </si>
  <si>
    <t>2009-10    Q3</t>
  </si>
  <si>
    <t>2009-10    Q4</t>
  </si>
  <si>
    <t>2010-11    Q1</t>
  </si>
  <si>
    <t>2010-11    Q2</t>
  </si>
  <si>
    <t>2010-11    Q3</t>
  </si>
  <si>
    <t>2010-11    Q4</t>
  </si>
  <si>
    <t>2011-12    Q1</t>
  </si>
  <si>
    <t>2011-12    Q2</t>
  </si>
  <si>
    <t>2011-12    Q3</t>
  </si>
  <si>
    <t>2011-12    Q4</t>
  </si>
  <si>
    <t>2012-13    Q1</t>
  </si>
  <si>
    <t>2012-13    Q2</t>
  </si>
  <si>
    <t>2012-13    Q3</t>
  </si>
  <si>
    <t>2012-13    Q4</t>
  </si>
  <si>
    <t>2013-14    Q1</t>
  </si>
  <si>
    <t>2013-14    Q2</t>
  </si>
  <si>
    <t>2013-14    Q3</t>
  </si>
  <si>
    <t>2013-14    Q4</t>
  </si>
  <si>
    <t>2014-15    Q1</t>
  </si>
  <si>
    <t>2014-15    Q2</t>
  </si>
  <si>
    <t>2014-15    Q3</t>
  </si>
  <si>
    <t>2014-15    Q4</t>
  </si>
  <si>
    <t>2015-16    Q1</t>
  </si>
  <si>
    <t>2015-16    Q2</t>
  </si>
  <si>
    <t>2015-16    Q3</t>
  </si>
  <si>
    <t>2015-16    Q4</t>
  </si>
  <si>
    <t>2016-17    Q1</t>
  </si>
  <si>
    <t>2016-17    Q2</t>
  </si>
  <si>
    <t>2016-17    Q3</t>
  </si>
  <si>
    <t>2016-17    Q4</t>
  </si>
  <si>
    <t>2017-18    Q1</t>
  </si>
  <si>
    <t>2017-18    Q2</t>
  </si>
  <si>
    <t>2017-18    Q3</t>
  </si>
  <si>
    <t>2017-18    Q4</t>
  </si>
  <si>
    <t>2018-19    Q1</t>
  </si>
  <si>
    <t>2018-19    Q2</t>
  </si>
  <si>
    <t>2018-19    Q3</t>
  </si>
  <si>
    <t>2018-19    Q4</t>
  </si>
  <si>
    <t>2019-20    Q1</t>
  </si>
  <si>
    <t>2019-20    Q2</t>
  </si>
  <si>
    <t>2019-20    Q3</t>
  </si>
  <si>
    <t>2019-20    Q4</t>
  </si>
  <si>
    <t>2020-21    Q1</t>
  </si>
  <si>
    <t>2020-21    Q2</t>
  </si>
  <si>
    <t>2020-21    Q3</t>
  </si>
  <si>
    <t>2020-21    Q4</t>
  </si>
  <si>
    <t>2021-22    Q1</t>
  </si>
  <si>
    <t>2021-22    Q2</t>
  </si>
  <si>
    <t>2021-22    Q3</t>
  </si>
  <si>
    <t>2021-22    Q4</t>
  </si>
  <si>
    <t>2022-23    Q1</t>
  </si>
  <si>
    <t>2022-23    Q2</t>
  </si>
  <si>
    <t>2022-23    Q3</t>
  </si>
  <si>
    <t>2022-23    Q4</t>
  </si>
  <si>
    <t>2023-24    Q1</t>
  </si>
  <si>
    <t>2023-24    Q2</t>
  </si>
  <si>
    <t>2023-24    Q3</t>
  </si>
  <si>
    <t>2023-24    Q4</t>
  </si>
  <si>
    <t>2024-25    Q1</t>
  </si>
  <si>
    <t>2024-25    Q2</t>
  </si>
  <si>
    <t>2024-25    Q3</t>
  </si>
  <si>
    <t>2024-25    Q4</t>
  </si>
  <si>
    <t>2025-26    Q1</t>
  </si>
  <si>
    <t>1996-97 Q1</t>
  </si>
  <si>
    <t>1996-97 Q2</t>
  </si>
  <si>
    <t>1996-97 Q3</t>
  </si>
  <si>
    <t>1996-97 Q4</t>
  </si>
  <si>
    <t>1997-98 Q1</t>
  </si>
  <si>
    <t>1997-98 Q2</t>
  </si>
  <si>
    <t>1997-98 Q3</t>
  </si>
  <si>
    <t>1997-98 Q4</t>
  </si>
  <si>
    <t>1998-99 Q1</t>
  </si>
  <si>
    <t>1998-99 Q2</t>
  </si>
  <si>
    <t>1998-99 Q3</t>
  </si>
  <si>
    <t>1998-99 Q4</t>
  </si>
  <si>
    <t>1999-00 Q1</t>
  </si>
  <si>
    <t>1999-00 Q2</t>
  </si>
  <si>
    <t>1999-00 Q3</t>
  </si>
  <si>
    <t>1999-00 Q4</t>
  </si>
  <si>
    <t>2000-01 Q1</t>
  </si>
  <si>
    <t>2000-01 Q2</t>
  </si>
  <si>
    <t>2000-01 Q3</t>
  </si>
  <si>
    <t>2000-01 Q4</t>
  </si>
  <si>
    <t>2001-02 Q1</t>
  </si>
  <si>
    <t>2001-02 Q2</t>
  </si>
  <si>
    <t>2001-02 Q3</t>
  </si>
  <si>
    <t>2001-02 Q4</t>
  </si>
  <si>
    <t>2002-03 Q1</t>
  </si>
  <si>
    <t>2002-03 Q2</t>
  </si>
  <si>
    <t>2002-03 Q3</t>
  </si>
  <si>
    <t>2002-03 Q4</t>
  </si>
  <si>
    <t>2003-04 Q1</t>
  </si>
  <si>
    <t>2003-04 Q2</t>
  </si>
  <si>
    <t>2003-04 Q3</t>
  </si>
  <si>
    <t>2003-04 Q4</t>
  </si>
  <si>
    <t>2004-05 Q1</t>
  </si>
  <si>
    <t>2004-05 Q2</t>
  </si>
  <si>
    <t>2004-05 Q3</t>
  </si>
  <si>
    <t>2004-05 Q4</t>
  </si>
  <si>
    <t>1999-2000</t>
  </si>
  <si>
    <t>2011-12</t>
  </si>
  <si>
    <t>GDP</t>
  </si>
  <si>
    <t>log.GDP</t>
  </si>
  <si>
    <t>log.GDP.SA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</si>
</sst>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2011-12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Sheet3!$A$2:$A$118</c:f>
              <c:strCache>
                <c:ptCount val="117"/>
                <c:pt idx="0">
                  <c:v>1996-97 Q1</c:v>
                </c:pt>
                <c:pt idx="1">
                  <c:v>1996-97 Q2</c:v>
                </c:pt>
                <c:pt idx="2">
                  <c:v>1996-97 Q3</c:v>
                </c:pt>
                <c:pt idx="3">
                  <c:v>1996-97 Q4</c:v>
                </c:pt>
                <c:pt idx="4">
                  <c:v>1997-98 Q1</c:v>
                </c:pt>
                <c:pt idx="5">
                  <c:v>1997-98 Q2</c:v>
                </c:pt>
                <c:pt idx="6">
                  <c:v>1997-98 Q3</c:v>
                </c:pt>
                <c:pt idx="7">
                  <c:v>1997-98 Q4</c:v>
                </c:pt>
                <c:pt idx="8">
                  <c:v>1998-99 Q1</c:v>
                </c:pt>
                <c:pt idx="9">
                  <c:v>1998-99 Q2</c:v>
                </c:pt>
                <c:pt idx="10">
                  <c:v>1998-99 Q3</c:v>
                </c:pt>
                <c:pt idx="11">
                  <c:v>1998-99 Q4</c:v>
                </c:pt>
                <c:pt idx="12">
                  <c:v>1999-00 Q1</c:v>
                </c:pt>
                <c:pt idx="13">
                  <c:v>1999-00 Q2</c:v>
                </c:pt>
                <c:pt idx="14">
                  <c:v>1999-00 Q3</c:v>
                </c:pt>
                <c:pt idx="15">
                  <c:v>1999-00 Q4</c:v>
                </c:pt>
                <c:pt idx="16">
                  <c:v>2000-01 Q1</c:v>
                </c:pt>
                <c:pt idx="17">
                  <c:v>2000-01 Q2</c:v>
                </c:pt>
                <c:pt idx="18">
                  <c:v>2000-01 Q3</c:v>
                </c:pt>
                <c:pt idx="19">
                  <c:v>2000-01 Q4</c:v>
                </c:pt>
                <c:pt idx="20">
                  <c:v>2001-02 Q1</c:v>
                </c:pt>
                <c:pt idx="21">
                  <c:v>2001-02 Q2</c:v>
                </c:pt>
                <c:pt idx="22">
                  <c:v>2001-02 Q3</c:v>
                </c:pt>
                <c:pt idx="23">
                  <c:v>2001-02 Q4</c:v>
                </c:pt>
                <c:pt idx="24">
                  <c:v>2002-03 Q1</c:v>
                </c:pt>
                <c:pt idx="25">
                  <c:v>2002-03 Q2</c:v>
                </c:pt>
                <c:pt idx="26">
                  <c:v>2002-03 Q3</c:v>
                </c:pt>
                <c:pt idx="27">
                  <c:v>2002-03 Q4</c:v>
                </c:pt>
                <c:pt idx="28">
                  <c:v>2003-04 Q1</c:v>
                </c:pt>
                <c:pt idx="29">
                  <c:v>2003-04 Q2</c:v>
                </c:pt>
                <c:pt idx="30">
                  <c:v>2003-04 Q3</c:v>
                </c:pt>
                <c:pt idx="31">
                  <c:v>2003-04 Q4</c:v>
                </c:pt>
                <c:pt idx="32">
                  <c:v>2004-05 Q1</c:v>
                </c:pt>
                <c:pt idx="33">
                  <c:v>2004-05 Q2</c:v>
                </c:pt>
                <c:pt idx="34">
                  <c:v>2004-05 Q3</c:v>
                </c:pt>
                <c:pt idx="35">
                  <c:v>2004-05 Q4</c:v>
                </c:pt>
                <c:pt idx="36">
                  <c:v>2005-06    Q1</c:v>
                </c:pt>
                <c:pt idx="37">
                  <c:v>2005-06    Q2</c:v>
                </c:pt>
                <c:pt idx="38">
                  <c:v>2005-06    Q3</c:v>
                </c:pt>
                <c:pt idx="39">
                  <c:v>2005-06    Q4</c:v>
                </c:pt>
                <c:pt idx="40">
                  <c:v>2006-07    Q1</c:v>
                </c:pt>
                <c:pt idx="41">
                  <c:v>2006-07    Q2</c:v>
                </c:pt>
                <c:pt idx="42">
                  <c:v>2006-07    Q3</c:v>
                </c:pt>
                <c:pt idx="43">
                  <c:v>2006-07    Q4</c:v>
                </c:pt>
                <c:pt idx="44">
                  <c:v>2007-08    Q1</c:v>
                </c:pt>
                <c:pt idx="45">
                  <c:v>2007-08    Q2</c:v>
                </c:pt>
                <c:pt idx="46">
                  <c:v>2007-08    Q3</c:v>
                </c:pt>
                <c:pt idx="47">
                  <c:v>2007-08    Q4</c:v>
                </c:pt>
                <c:pt idx="48">
                  <c:v>2008-09    Q1</c:v>
                </c:pt>
                <c:pt idx="49">
                  <c:v>2008-09    Q2</c:v>
                </c:pt>
                <c:pt idx="50">
                  <c:v>2008-09    Q3</c:v>
                </c:pt>
                <c:pt idx="51">
                  <c:v>2008-09    Q4</c:v>
                </c:pt>
                <c:pt idx="52">
                  <c:v>2009-10    Q1</c:v>
                </c:pt>
                <c:pt idx="53">
                  <c:v>2009-10    Q2</c:v>
                </c:pt>
                <c:pt idx="54">
                  <c:v>2009-10    Q3</c:v>
                </c:pt>
                <c:pt idx="55">
                  <c:v>2009-10    Q4</c:v>
                </c:pt>
                <c:pt idx="56">
                  <c:v>2010-11    Q1</c:v>
                </c:pt>
                <c:pt idx="57">
                  <c:v>2010-11    Q2</c:v>
                </c:pt>
                <c:pt idx="58">
                  <c:v>2010-11    Q3</c:v>
                </c:pt>
                <c:pt idx="59">
                  <c:v>2010-11    Q4</c:v>
                </c:pt>
                <c:pt idx="60">
                  <c:v>2011-12    Q1</c:v>
                </c:pt>
                <c:pt idx="61">
                  <c:v>2011-12    Q2</c:v>
                </c:pt>
                <c:pt idx="62">
                  <c:v>2011-12    Q3</c:v>
                </c:pt>
                <c:pt idx="63">
                  <c:v>2011-12    Q4</c:v>
                </c:pt>
                <c:pt idx="64">
                  <c:v>2012-13    Q1</c:v>
                </c:pt>
                <c:pt idx="65">
                  <c:v>2012-13    Q2</c:v>
                </c:pt>
                <c:pt idx="66">
                  <c:v>2012-13    Q3</c:v>
                </c:pt>
                <c:pt idx="67">
                  <c:v>2012-13    Q4</c:v>
                </c:pt>
                <c:pt idx="68">
                  <c:v>2013-14    Q1</c:v>
                </c:pt>
                <c:pt idx="69">
                  <c:v>2013-14    Q2</c:v>
                </c:pt>
                <c:pt idx="70">
                  <c:v>2013-14    Q3</c:v>
                </c:pt>
                <c:pt idx="71">
                  <c:v>2013-14    Q4</c:v>
                </c:pt>
                <c:pt idx="72">
                  <c:v>2014-15    Q1</c:v>
                </c:pt>
                <c:pt idx="73">
                  <c:v>2014-15    Q2</c:v>
                </c:pt>
                <c:pt idx="74">
                  <c:v>2014-15    Q3</c:v>
                </c:pt>
                <c:pt idx="75">
                  <c:v>2014-15    Q4</c:v>
                </c:pt>
                <c:pt idx="76">
                  <c:v>2015-16    Q1</c:v>
                </c:pt>
                <c:pt idx="77">
                  <c:v>2015-16    Q2</c:v>
                </c:pt>
                <c:pt idx="78">
                  <c:v>2015-16    Q3</c:v>
                </c:pt>
                <c:pt idx="79">
                  <c:v>2015-16    Q4</c:v>
                </c:pt>
                <c:pt idx="80">
                  <c:v>2016-17    Q1</c:v>
                </c:pt>
                <c:pt idx="81">
                  <c:v>2016-17    Q2</c:v>
                </c:pt>
                <c:pt idx="82">
                  <c:v>2016-17    Q3</c:v>
                </c:pt>
                <c:pt idx="83">
                  <c:v>2016-17    Q4</c:v>
                </c:pt>
                <c:pt idx="84">
                  <c:v>2017-18    Q1</c:v>
                </c:pt>
                <c:pt idx="85">
                  <c:v>2017-18    Q2</c:v>
                </c:pt>
                <c:pt idx="86">
                  <c:v>2017-18    Q3</c:v>
                </c:pt>
                <c:pt idx="87">
                  <c:v>2017-18    Q4</c:v>
                </c:pt>
                <c:pt idx="88">
                  <c:v>2018-19    Q1</c:v>
                </c:pt>
                <c:pt idx="89">
                  <c:v>2018-19    Q2</c:v>
                </c:pt>
                <c:pt idx="90">
                  <c:v>2018-19    Q3</c:v>
                </c:pt>
                <c:pt idx="91">
                  <c:v>2018-19    Q4</c:v>
                </c:pt>
                <c:pt idx="92">
                  <c:v>2019-20    Q1</c:v>
                </c:pt>
                <c:pt idx="93">
                  <c:v>2019-20    Q2</c:v>
                </c:pt>
                <c:pt idx="94">
                  <c:v>2019-20    Q3</c:v>
                </c:pt>
                <c:pt idx="95">
                  <c:v>2019-20    Q4</c:v>
                </c:pt>
                <c:pt idx="96">
                  <c:v>2020-21    Q1</c:v>
                </c:pt>
                <c:pt idx="97">
                  <c:v>2020-21    Q2</c:v>
                </c:pt>
                <c:pt idx="98">
                  <c:v>2020-21    Q3</c:v>
                </c:pt>
                <c:pt idx="99">
                  <c:v>2020-21    Q4</c:v>
                </c:pt>
                <c:pt idx="100">
                  <c:v>2021-22    Q1</c:v>
                </c:pt>
                <c:pt idx="101">
                  <c:v>2021-22    Q2</c:v>
                </c:pt>
                <c:pt idx="102">
                  <c:v>2021-22    Q3</c:v>
                </c:pt>
                <c:pt idx="103">
                  <c:v>2021-22    Q4</c:v>
                </c:pt>
                <c:pt idx="104">
                  <c:v>2022-23    Q1</c:v>
                </c:pt>
                <c:pt idx="105">
                  <c:v>2022-23    Q2</c:v>
                </c:pt>
                <c:pt idx="106">
                  <c:v>2022-23    Q3</c:v>
                </c:pt>
                <c:pt idx="107">
                  <c:v>2022-23    Q4</c:v>
                </c:pt>
                <c:pt idx="108">
                  <c:v>2023-24    Q1</c:v>
                </c:pt>
                <c:pt idx="109">
                  <c:v>2023-24    Q2</c:v>
                </c:pt>
                <c:pt idx="110">
                  <c:v>2023-24    Q3</c:v>
                </c:pt>
                <c:pt idx="111">
                  <c:v>2023-24    Q4</c:v>
                </c:pt>
                <c:pt idx="112">
                  <c:v>2024-25    Q1</c:v>
                </c:pt>
                <c:pt idx="113">
                  <c:v>2024-25    Q2</c:v>
                </c:pt>
                <c:pt idx="114">
                  <c:v>2024-25    Q3</c:v>
                </c:pt>
                <c:pt idx="115">
                  <c:v>2024-25    Q4</c:v>
                </c:pt>
                <c:pt idx="116">
                  <c:v>2025-26    Q1</c:v>
                </c:pt>
              </c:strCache>
            </c:strRef>
          </c:cat>
          <c:val>
            <c:numRef>
              <c:f>Sheet3!$D$2:$D$118</c:f>
              <c:numCache>
                <c:formatCode>General</c:formatCode>
                <c:ptCount val="117"/>
                <c:pt idx="0">
                  <c:v>762903.21940697567</c:v>
                </c:pt>
                <c:pt idx="1">
                  <c:v>703428.56771075458</c:v>
                </c:pt>
                <c:pt idx="2">
                  <c:v>875699.63402104459</c:v>
                </c:pt>
                <c:pt idx="3">
                  <c:v>888645.64194541017</c:v>
                </c:pt>
                <c:pt idx="4">
                  <c:v>787777.93669611635</c:v>
                </c:pt>
                <c:pt idx="5">
                  <c:v>737476.64710770955</c:v>
                </c:pt>
                <c:pt idx="6">
                  <c:v>906623.15355639975</c:v>
                </c:pt>
                <c:pt idx="7">
                  <c:v>929789.28060066816</c:v>
                </c:pt>
                <c:pt idx="8">
                  <c:v>837678.59133055317</c:v>
                </c:pt>
                <c:pt idx="9">
                  <c:v>795067.9217409048</c:v>
                </c:pt>
                <c:pt idx="10">
                  <c:v>956519.8803971702</c:v>
                </c:pt>
                <c:pt idx="11">
                  <c:v>980611.00284986943</c:v>
                </c:pt>
                <c:pt idx="12">
                  <c:v>902714.99885835859</c:v>
                </c:pt>
                <c:pt idx="13">
                  <c:v>857820.3172517143</c:v>
                </c:pt>
                <c:pt idx="14">
                  <c:v>1021285.2701619959</c:v>
                </c:pt>
                <c:pt idx="15">
                  <c:v>1051772.8046003836</c:v>
                </c:pt>
                <c:pt idx="16">
                  <c:v>950025.27356982231</c:v>
                </c:pt>
                <c:pt idx="17">
                  <c:v>914743.8669616261</c:v>
                </c:pt>
                <c:pt idx="18">
                  <c:v>1060074.1965142633</c:v>
                </c:pt>
                <c:pt idx="19">
                  <c:v>1063261.6010745249</c:v>
                </c:pt>
                <c:pt idx="20">
                  <c:v>986486.98217476357</c:v>
                </c:pt>
                <c:pt idx="21">
                  <c:v>954591.33370698104</c:v>
                </c:pt>
                <c:pt idx="22">
                  <c:v>1126764.2051756117</c:v>
                </c:pt>
                <c:pt idx="23">
                  <c:v>1128317.6475706622</c:v>
                </c:pt>
                <c:pt idx="24">
                  <c:v>1036497.6150318588</c:v>
                </c:pt>
                <c:pt idx="25">
                  <c:v>1005605.5178458345</c:v>
                </c:pt>
                <c:pt idx="26">
                  <c:v>1148987.6617399505</c:v>
                </c:pt>
                <c:pt idx="27">
                  <c:v>1163137.5384230595</c:v>
                </c:pt>
                <c:pt idx="28">
                  <c:v>1087319.3372810599</c:v>
                </c:pt>
                <c:pt idx="29">
                  <c:v>1087060.1028990794</c:v>
                </c:pt>
                <c:pt idx="30">
                  <c:v>1277848.7524494852</c:v>
                </c:pt>
                <c:pt idx="31">
                  <c:v>1266485.645372668</c:v>
                </c:pt>
                <c:pt idx="32">
                  <c:v>1185498.6321878724</c:v>
                </c:pt>
                <c:pt idx="33">
                  <c:v>1198204.8683692091</c:v>
                </c:pt>
                <c:pt idx="34">
                  <c:v>1344099.7720535332</c:v>
                </c:pt>
                <c:pt idx="35">
                  <c:v>1396748.699432601</c:v>
                </c:pt>
                <c:pt idx="36">
                  <c:v>1294847.4986803983</c:v>
                </c:pt>
                <c:pt idx="37">
                  <c:v>1299377.4244044574</c:v>
                </c:pt>
                <c:pt idx="38">
                  <c:v>1464711.8104614969</c:v>
                </c:pt>
                <c:pt idx="39">
                  <c:v>1541423.3998165156</c:v>
                </c:pt>
                <c:pt idx="40">
                  <c:v>1390744.0979581764</c:v>
                </c:pt>
                <c:pt idx="41">
                  <c:v>1432419.0985046753</c:v>
                </c:pt>
                <c:pt idx="42">
                  <c:v>1603530.4833479801</c:v>
                </c:pt>
                <c:pt idx="43">
                  <c:v>1692482.0394884537</c:v>
                </c:pt>
                <c:pt idx="44">
                  <c:v>1541078.83463583</c:v>
                </c:pt>
                <c:pt idx="45">
                  <c:v>1563349.1254425265</c:v>
                </c:pt>
                <c:pt idx="46">
                  <c:v>1772658.2475410078</c:v>
                </c:pt>
                <c:pt idx="47">
                  <c:v>1841852.6258898769</c:v>
                </c:pt>
                <c:pt idx="48">
                  <c:v>1665661.2754927946</c:v>
                </c:pt>
                <c:pt idx="49">
                  <c:v>1668648.5607748851</c:v>
                </c:pt>
                <c:pt idx="50">
                  <c:v>1799863.0910729356</c:v>
                </c:pt>
                <c:pt idx="51">
                  <c:v>1846197.6244298064</c:v>
                </c:pt>
                <c:pt idx="52">
                  <c:v>1748842.1551438961</c:v>
                </c:pt>
                <c:pt idx="53">
                  <c:v>1784751.2209236932</c:v>
                </c:pt>
                <c:pt idx="54">
                  <c:v>1947642.0392314673</c:v>
                </c:pt>
                <c:pt idx="55">
                  <c:v>2091039.6356429325</c:v>
                </c:pt>
                <c:pt idx="56">
                  <c:v>1928857.6574570946</c:v>
                </c:pt>
                <c:pt idx="57">
                  <c:v>1957516.265742413</c:v>
                </c:pt>
                <c:pt idx="58">
                  <c:v>2155863.9475446898</c:v>
                </c:pt>
                <c:pt idx="59">
                  <c:v>2306962.2754353755</c:v>
                </c:pt>
                <c:pt idx="60">
                  <c:v>2102862.8175453502</c:v>
                </c:pt>
                <c:pt idx="61">
                  <c:v>2042870.16440946</c:v>
                </c:pt>
                <c:pt idx="62">
                  <c:v>2225135.2279735501</c:v>
                </c:pt>
                <c:pt idx="63">
                  <c:v>2365461.3993782601</c:v>
                </c:pt>
                <c:pt idx="64">
                  <c:v>2205223.4405590799</c:v>
                </c:pt>
                <c:pt idx="65">
                  <c:v>2195945.8751209299</c:v>
                </c:pt>
                <c:pt idx="66">
                  <c:v>2344767.2130017099</c:v>
                </c:pt>
                <c:pt idx="67">
                  <c:v>2467081.8672380499</c:v>
                </c:pt>
                <c:pt idx="68">
                  <c:v>2347396.3707367098</c:v>
                </c:pt>
                <c:pt idx="69">
                  <c:v>2357078.8660974</c:v>
                </c:pt>
                <c:pt idx="70">
                  <c:v>2497997.34269349</c:v>
                </c:pt>
                <c:pt idx="71">
                  <c:v>2598897.5613917401</c:v>
                </c:pt>
                <c:pt idx="72">
                  <c:v>2535750.5874271099</c:v>
                </c:pt>
                <c:pt idx="73">
                  <c:v>2562241.5838251398</c:v>
                </c:pt>
                <c:pt idx="74">
                  <c:v>2645947.1351727499</c:v>
                </c:pt>
                <c:pt idx="75">
                  <c:v>2783733.23261791</c:v>
                </c:pt>
                <c:pt idx="76">
                  <c:v>2728279</c:v>
                </c:pt>
                <c:pt idx="77">
                  <c:v>2768087</c:v>
                </c:pt>
                <c:pt idx="78">
                  <c:v>2836387</c:v>
                </c:pt>
                <c:pt idx="79">
                  <c:v>3036738</c:v>
                </c:pt>
                <c:pt idx="80">
                  <c:v>2965087.77736525</c:v>
                </c:pt>
                <c:pt idx="81">
                  <c:v>3035755.82534701</c:v>
                </c:pt>
                <c:pt idx="82">
                  <c:v>3079621.6131299399</c:v>
                </c:pt>
                <c:pt idx="83">
                  <c:v>3227728.31188777</c:v>
                </c:pt>
                <c:pt idx="84">
                  <c:v>3146336.28272358</c:v>
                </c:pt>
                <c:pt idx="85">
                  <c:v>3197195.4852978298</c:v>
                </c:pt>
                <c:pt idx="86">
                  <c:v>3284991.6555802599</c:v>
                </c:pt>
                <c:pt idx="87">
                  <c:v>3516058.35168949</c:v>
                </c:pt>
                <c:pt idx="88">
                  <c:v>3382300.8262527199</c:v>
                </c:pt>
                <c:pt idx="89">
                  <c:v>3403644.1903298399</c:v>
                </c:pt>
                <c:pt idx="90">
                  <c:v>3489760.8891947102</c:v>
                </c:pt>
                <c:pt idx="91">
                  <c:v>3717210.0382428002</c:v>
                </c:pt>
                <c:pt idx="92">
                  <c:v>3554641.5094634402</c:v>
                </c:pt>
                <c:pt idx="93">
                  <c:v>3549945.45361298</c:v>
                </c:pt>
                <c:pt idx="94">
                  <c:v>3603375.0476866299</c:v>
                </c:pt>
                <c:pt idx="95">
                  <c:v>3826678.6421807199</c:v>
                </c:pt>
                <c:pt idx="96">
                  <c:v>2732306.1624803399</c:v>
                </c:pt>
                <c:pt idx="97">
                  <c:v>3342656.4132057</c:v>
                </c:pt>
                <c:pt idx="98">
                  <c:v>3667337.9177076598</c:v>
                </c:pt>
                <c:pt idx="99">
                  <c:v>3952568.4405267602</c:v>
                </c:pt>
                <c:pt idx="100">
                  <c:v>3350730.1257925699</c:v>
                </c:pt>
                <c:pt idx="101">
                  <c:v>3672438.1378288199</c:v>
                </c:pt>
                <c:pt idx="102">
                  <c:v>3870107.78086635</c:v>
                </c:pt>
                <c:pt idx="103">
                  <c:v>4128570.2090689298</c:v>
                </c:pt>
                <c:pt idx="104">
                  <c:v>3802769.07124162</c:v>
                </c:pt>
                <c:pt idx="105">
                  <c:v>3891250.7250851998</c:v>
                </c:pt>
                <c:pt idx="106">
                  <c:v>4057577.78318612</c:v>
                </c:pt>
                <c:pt idx="107">
                  <c:v>4413315.7960118996</c:v>
                </c:pt>
                <c:pt idx="108">
                  <c:v>4170114.4435351598</c:v>
                </c:pt>
                <c:pt idx="109">
                  <c:v>4254805.79356224</c:v>
                </c:pt>
                <c:pt idx="110">
                  <c:v>4443638.2426613001</c:v>
                </c:pt>
                <c:pt idx="111">
                  <c:v>4782032.4684796799</c:v>
                </c:pt>
                <c:pt idx="112">
                  <c:v>4441663.94615502</c:v>
                </c:pt>
                <c:pt idx="113">
                  <c:v>4493586.5598837798</c:v>
                </c:pt>
                <c:pt idx="114">
                  <c:v>4726541.8298279596</c:v>
                </c:pt>
                <c:pt idx="115">
                  <c:v>5135163.1080317898</c:v>
                </c:pt>
                <c:pt idx="116">
                  <c:v>4788623.3614072502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7-4A8C-9820-BA30C948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365216"/>
        <c:axId val="1256365696"/>
      </c:lineChart>
      <c:catAx>
        <c:axId val="125636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65696"/>
        <c:crosses val="autoZero"/>
        <c:auto val="1"/>
        <c:lblAlgn val="ctr"/>
        <c:lblOffset val="100"/>
        <c:noMultiLvlLbl val="0"/>
      </c:catAx>
      <c:valAx>
        <c:axId val="125636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6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98</xdr:row>
      <xdr:rowOff>34290</xdr:rowOff>
    </xdr:from>
    <xdr:to>
      <xdr:col>14</xdr:col>
      <xdr:colOff>594360</xdr:colOff>
      <xdr:row>113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BD246-9E4A-4FF0-C298-63749E42D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ceicdata.com/series/365384367_SR8750082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workbookViewId="0">
      <selection activeCell="E85" sqref="E85:E93"/>
    </sheetView>
  </sheetViews>
  <sheetFormatPr defaultRowHeight="14.4" x14ac:dyDescent="0.3"/>
  <cols>
    <col min="10" max="10" width="12.33203125" customWidth="1"/>
  </cols>
  <sheetData>
    <row r="1" spans="1:11" x14ac:dyDescent="0.3">
      <c r="A1" t="s">
        <v>0</v>
      </c>
      <c r="B1" t="s">
        <v>1</v>
      </c>
      <c r="C1" s="1" t="s">
        <v>2</v>
      </c>
      <c r="D1" s="1" t="s">
        <v>3</v>
      </c>
    </row>
    <row r="2" spans="1:11" x14ac:dyDescent="0.3">
      <c r="A2" s="1" t="s">
        <v>4</v>
      </c>
      <c r="B2" t="s">
        <v>5</v>
      </c>
      <c r="C2" t="str">
        <f>CONCATENATE(A2,"  - ", B2)</f>
        <v>1996-97  - Q1</v>
      </c>
      <c r="D2">
        <v>704284.01133019978</v>
      </c>
      <c r="J2" s="2" t="s">
        <v>36</v>
      </c>
      <c r="K2" s="3" t="s">
        <v>37</v>
      </c>
    </row>
    <row r="3" spans="1:11" x14ac:dyDescent="0.3">
      <c r="A3" t="s">
        <v>6</v>
      </c>
      <c r="B3" t="s">
        <v>7</v>
      </c>
      <c r="C3" t="str">
        <f t="shared" ref="C3:C66" si="0">CONCATENATE(A3,"  - ", B3)</f>
        <v>1996-97     - Q2</v>
      </c>
      <c r="D3">
        <v>649379.62402720109</v>
      </c>
      <c r="J3" s="2" t="s">
        <v>38</v>
      </c>
      <c r="K3" s="2" t="s">
        <v>39</v>
      </c>
    </row>
    <row r="4" spans="1:11" x14ac:dyDescent="0.3">
      <c r="A4" t="s">
        <v>6</v>
      </c>
      <c r="B4" t="s">
        <v>8</v>
      </c>
      <c r="C4" t="str">
        <f t="shared" si="0"/>
        <v>1996-97     - Q3</v>
      </c>
      <c r="D4">
        <v>808414.11263116193</v>
      </c>
      <c r="J4" s="2" t="s">
        <v>40</v>
      </c>
      <c r="K4" s="2"/>
    </row>
    <row r="5" spans="1:11" x14ac:dyDescent="0.3">
      <c r="A5" t="s">
        <v>6</v>
      </c>
      <c r="B5" t="s">
        <v>9</v>
      </c>
      <c r="C5" t="str">
        <f t="shared" si="0"/>
        <v>1996-97     - Q4</v>
      </c>
      <c r="D5">
        <v>820364.63542211999</v>
      </c>
      <c r="J5" s="2" t="s">
        <v>41</v>
      </c>
      <c r="K5" s="2" t="s">
        <v>42</v>
      </c>
    </row>
    <row r="6" spans="1:11" x14ac:dyDescent="0.3">
      <c r="A6" t="s">
        <v>10</v>
      </c>
      <c r="B6" t="s">
        <v>5</v>
      </c>
      <c r="C6" t="str">
        <f t="shared" si="0"/>
        <v>1997-98     - Q1</v>
      </c>
      <c r="D6">
        <v>728973.98123269703</v>
      </c>
      <c r="J6" s="2" t="s">
        <v>43</v>
      </c>
      <c r="K6" s="2" t="s">
        <v>44</v>
      </c>
    </row>
    <row r="7" spans="1:11" x14ac:dyDescent="0.3">
      <c r="A7" t="s">
        <v>10</v>
      </c>
      <c r="B7" t="s">
        <v>7</v>
      </c>
      <c r="C7" t="str">
        <f t="shared" si="0"/>
        <v>1997-98     - Q2</v>
      </c>
      <c r="D7">
        <v>682427.44631841115</v>
      </c>
      <c r="J7" s="2" t="s">
        <v>45</v>
      </c>
      <c r="K7" s="2" t="s">
        <v>46</v>
      </c>
    </row>
    <row r="8" spans="1:11" x14ac:dyDescent="0.3">
      <c r="A8" t="s">
        <v>10</v>
      </c>
      <c r="B8" t="s">
        <v>8</v>
      </c>
      <c r="C8" t="str">
        <f t="shared" si="0"/>
        <v>1997-98     - Q3</v>
      </c>
      <c r="D8">
        <v>838948.84516934294</v>
      </c>
      <c r="J8" s="2" t="s">
        <v>47</v>
      </c>
      <c r="K8" s="2" t="s">
        <v>48</v>
      </c>
    </row>
    <row r="9" spans="1:11" x14ac:dyDescent="0.3">
      <c r="A9" t="s">
        <v>10</v>
      </c>
      <c r="B9" t="s">
        <v>9</v>
      </c>
      <c r="C9" t="str">
        <f t="shared" si="0"/>
        <v>1997-98     - Q4</v>
      </c>
      <c r="D9">
        <v>860384.25509270094</v>
      </c>
      <c r="J9" s="2" t="s">
        <v>49</v>
      </c>
      <c r="K9" s="2" t="s">
        <v>50</v>
      </c>
    </row>
    <row r="10" spans="1:11" x14ac:dyDescent="0.3">
      <c r="A10" t="s">
        <v>11</v>
      </c>
      <c r="B10" t="s">
        <v>5</v>
      </c>
      <c r="C10" t="str">
        <f t="shared" si="0"/>
        <v>1998-99     - Q1</v>
      </c>
      <c r="D10">
        <v>778725.64477771462</v>
      </c>
      <c r="J10" s="2" t="s">
        <v>51</v>
      </c>
      <c r="K10" s="2" t="s">
        <v>52</v>
      </c>
    </row>
    <row r="11" spans="1:11" x14ac:dyDescent="0.3">
      <c r="A11" t="s">
        <v>11</v>
      </c>
      <c r="B11" t="s">
        <v>7</v>
      </c>
      <c r="C11" t="str">
        <f t="shared" si="0"/>
        <v>1998-99     - Q2</v>
      </c>
      <c r="D11">
        <v>739113.3394180102</v>
      </c>
      <c r="J11" s="2" t="s">
        <v>53</v>
      </c>
      <c r="K11" s="2"/>
    </row>
    <row r="12" spans="1:11" x14ac:dyDescent="0.3">
      <c r="A12" t="s">
        <v>11</v>
      </c>
      <c r="B12" t="s">
        <v>8</v>
      </c>
      <c r="C12" t="str">
        <f t="shared" si="0"/>
        <v>1998-99     - Q3</v>
      </c>
      <c r="D12">
        <v>889202.73121417908</v>
      </c>
      <c r="J12" s="2" t="s">
        <v>54</v>
      </c>
      <c r="K12" s="2"/>
    </row>
    <row r="13" spans="1:11" x14ac:dyDescent="0.3">
      <c r="A13" t="s">
        <v>11</v>
      </c>
      <c r="B13" t="s">
        <v>9</v>
      </c>
      <c r="C13" t="str">
        <f t="shared" si="0"/>
        <v>1998-99     - Q4</v>
      </c>
      <c r="D13">
        <v>911599.08655057591</v>
      </c>
      <c r="J13" s="2" t="s">
        <v>55</v>
      </c>
      <c r="K13" s="2"/>
    </row>
    <row r="14" spans="1:11" x14ac:dyDescent="0.3">
      <c r="A14" t="s">
        <v>12</v>
      </c>
      <c r="B14" t="s">
        <v>5</v>
      </c>
      <c r="C14" t="str">
        <f t="shared" si="0"/>
        <v>1999-00     - Q1</v>
      </c>
      <c r="D14">
        <v>833995.8240589276</v>
      </c>
      <c r="J14" s="2" t="s">
        <v>56</v>
      </c>
      <c r="K14" s="4">
        <v>40695</v>
      </c>
    </row>
    <row r="15" spans="1:11" x14ac:dyDescent="0.3">
      <c r="A15" t="s">
        <v>12</v>
      </c>
      <c r="B15" t="s">
        <v>7</v>
      </c>
      <c r="C15" t="str">
        <f t="shared" si="0"/>
        <v>1999-00     - Q2</v>
      </c>
      <c r="D15">
        <v>784101.79823049682</v>
      </c>
      <c r="J15" s="2" t="s">
        <v>57</v>
      </c>
      <c r="K15" s="4">
        <v>45809</v>
      </c>
    </row>
    <row r="16" spans="1:11" x14ac:dyDescent="0.3">
      <c r="A16" t="s">
        <v>12</v>
      </c>
      <c r="B16" t="s">
        <v>8</v>
      </c>
      <c r="C16" t="str">
        <f t="shared" si="0"/>
        <v>1999-00     - Q3</v>
      </c>
      <c r="D16">
        <v>944870.33853658708</v>
      </c>
      <c r="J16" s="2" t="s">
        <v>58</v>
      </c>
      <c r="K16" s="4">
        <v>45898</v>
      </c>
    </row>
    <row r="17" spans="1:11" x14ac:dyDescent="0.3">
      <c r="A17" t="s">
        <v>12</v>
      </c>
      <c r="B17" t="s">
        <v>9</v>
      </c>
      <c r="C17" t="str">
        <f t="shared" si="0"/>
        <v>1999-00     - Q4</v>
      </c>
      <c r="D17">
        <v>969599.85351781012</v>
      </c>
      <c r="J17" s="2" t="s">
        <v>59</v>
      </c>
      <c r="K17" s="2"/>
    </row>
    <row r="18" spans="1:11" x14ac:dyDescent="0.3">
      <c r="A18" t="s">
        <v>13</v>
      </c>
      <c r="B18" t="s">
        <v>5</v>
      </c>
      <c r="C18" t="str">
        <f t="shared" si="0"/>
        <v>2000-01     - Q1</v>
      </c>
      <c r="D18">
        <v>876485.03389593912</v>
      </c>
      <c r="J18" s="2" t="s">
        <v>60</v>
      </c>
      <c r="K18" s="2"/>
    </row>
    <row r="19" spans="1:11" x14ac:dyDescent="0.3">
      <c r="A19" t="s">
        <v>13</v>
      </c>
      <c r="B19" t="s">
        <v>7</v>
      </c>
      <c r="C19" t="str">
        <f t="shared" si="0"/>
        <v>2000-01     - Q2</v>
      </c>
      <c r="D19">
        <v>836372.48329035239</v>
      </c>
      <c r="J19" s="2" t="s">
        <v>61</v>
      </c>
      <c r="K19" s="2">
        <v>33288774.015916001</v>
      </c>
    </row>
    <row r="20" spans="1:11" x14ac:dyDescent="0.3">
      <c r="A20" t="s">
        <v>13</v>
      </c>
      <c r="B20" t="s">
        <v>8</v>
      </c>
      <c r="C20" t="str">
        <f t="shared" si="0"/>
        <v>2000-01     - Q3</v>
      </c>
      <c r="D20">
        <v>986493.51114950201</v>
      </c>
      <c r="J20" s="2" t="s">
        <v>62</v>
      </c>
      <c r="K20" s="2">
        <v>63716133112655.5</v>
      </c>
    </row>
    <row r="21" spans="1:11" x14ac:dyDescent="0.3">
      <c r="A21" t="s">
        <v>13</v>
      </c>
      <c r="B21" t="s">
        <v>9</v>
      </c>
      <c r="C21" t="str">
        <f t="shared" si="0"/>
        <v>2000-01     - Q4</v>
      </c>
      <c r="D21">
        <v>986701.12281281292</v>
      </c>
      <c r="J21" s="2" t="s">
        <v>63</v>
      </c>
      <c r="K21" s="2">
        <v>7982238.6028391495</v>
      </c>
    </row>
    <row r="22" spans="1:11" x14ac:dyDescent="0.3">
      <c r="A22" t="s">
        <v>14</v>
      </c>
      <c r="B22" t="s">
        <v>5</v>
      </c>
      <c r="C22" t="str">
        <f t="shared" si="0"/>
        <v>2001-02     - Q1</v>
      </c>
      <c r="D22">
        <v>916504.65356652008</v>
      </c>
      <c r="J22" s="2" t="s">
        <v>64</v>
      </c>
      <c r="K22" s="2">
        <v>0.28860147032068001</v>
      </c>
    </row>
    <row r="23" spans="1:11" x14ac:dyDescent="0.3">
      <c r="A23" t="s">
        <v>14</v>
      </c>
      <c r="B23" t="s">
        <v>7</v>
      </c>
      <c r="C23" t="str">
        <f t="shared" si="0"/>
        <v>2001-02     - Q2</v>
      </c>
      <c r="D23">
        <v>880332.77005596634</v>
      </c>
      <c r="J23" s="2" t="s">
        <v>65</v>
      </c>
      <c r="K23" s="2">
        <v>-0.80034358701679797</v>
      </c>
    </row>
    <row r="24" spans="1:11" x14ac:dyDescent="0.3">
      <c r="A24" t="s">
        <v>14</v>
      </c>
      <c r="B24" t="s">
        <v>8</v>
      </c>
      <c r="C24" t="str">
        <f t="shared" si="0"/>
        <v>2001-02     - Q3</v>
      </c>
      <c r="D24">
        <v>1053168.4911352561</v>
      </c>
      <c r="J24" s="2" t="s">
        <v>66</v>
      </c>
      <c r="K24" s="2">
        <v>0.239787701374123</v>
      </c>
    </row>
    <row r="25" spans="1:11" x14ac:dyDescent="0.3">
      <c r="A25" t="s">
        <v>14</v>
      </c>
      <c r="B25" t="s">
        <v>9</v>
      </c>
      <c r="C25" t="str">
        <f t="shared" si="0"/>
        <v>2001-02     - Q4</v>
      </c>
      <c r="D25">
        <v>1050335.0862445475</v>
      </c>
      <c r="J25" s="2" t="s">
        <v>67</v>
      </c>
      <c r="K25" s="2">
        <v>20428701.644094601</v>
      </c>
    </row>
    <row r="26" spans="1:11" x14ac:dyDescent="0.3">
      <c r="A26" t="s">
        <v>15</v>
      </c>
      <c r="B26" t="s">
        <v>5</v>
      </c>
      <c r="C26" t="str">
        <f t="shared" si="0"/>
        <v>2002-03     - Q1</v>
      </c>
      <c r="D26">
        <v>962991.87086271716</v>
      </c>
      <c r="J26" s="2" t="s">
        <v>68</v>
      </c>
      <c r="K26" s="2">
        <v>51351631.0803179</v>
      </c>
    </row>
    <row r="27" spans="1:11" x14ac:dyDescent="0.3">
      <c r="A27" t="s">
        <v>15</v>
      </c>
      <c r="B27" t="s">
        <v>7</v>
      </c>
      <c r="C27" t="str">
        <f t="shared" si="0"/>
        <v>2002-03     - Q2</v>
      </c>
      <c r="D27">
        <v>927666.25203689712</v>
      </c>
      <c r="J27" s="2" t="s">
        <v>69</v>
      </c>
      <c r="K27" s="2">
        <v>33426564.132057</v>
      </c>
    </row>
    <row r="28" spans="1:11" x14ac:dyDescent="0.3">
      <c r="A28" t="s">
        <v>15</v>
      </c>
      <c r="B28" t="s">
        <v>8</v>
      </c>
      <c r="C28" t="str">
        <f t="shared" si="0"/>
        <v>2002-03     - Q3</v>
      </c>
      <c r="D28">
        <v>1070647.4159320907</v>
      </c>
      <c r="J28" s="2" t="s">
        <v>70</v>
      </c>
      <c r="K28" s="2">
        <v>1897460118.9072101</v>
      </c>
    </row>
    <row r="29" spans="1:11" x14ac:dyDescent="0.3">
      <c r="A29" t="s">
        <v>15</v>
      </c>
      <c r="B29" t="s">
        <v>9</v>
      </c>
      <c r="C29" t="str">
        <f t="shared" si="0"/>
        <v>2002-03     - Q4</v>
      </c>
      <c r="D29">
        <v>1088683.9263389604</v>
      </c>
      <c r="J29" s="2" t="s">
        <v>71</v>
      </c>
      <c r="K29" s="2">
        <v>-30922929.436223298</v>
      </c>
    </row>
    <row r="30" spans="1:11" x14ac:dyDescent="0.3">
      <c r="A30" t="s">
        <v>16</v>
      </c>
      <c r="B30" t="s">
        <v>5</v>
      </c>
      <c r="C30" t="str">
        <f t="shared" si="0"/>
        <v>2003-04     - Q1</v>
      </c>
      <c r="D30">
        <v>1014958.0588163836</v>
      </c>
      <c r="J30" s="2" t="s">
        <v>72</v>
      </c>
      <c r="K30" s="2">
        <v>57</v>
      </c>
    </row>
    <row r="31" spans="1:11" x14ac:dyDescent="0.3">
      <c r="A31" t="s">
        <v>16</v>
      </c>
      <c r="B31" t="s">
        <v>7</v>
      </c>
      <c r="C31" t="str">
        <f t="shared" si="0"/>
        <v>2003-04     - Q2</v>
      </c>
      <c r="D31">
        <v>1011262.5712094511</v>
      </c>
      <c r="J31" s="4">
        <v>40695</v>
      </c>
      <c r="K31" s="2">
        <v>21028628.175453499</v>
      </c>
    </row>
    <row r="32" spans="1:11" x14ac:dyDescent="0.3">
      <c r="A32" t="s">
        <v>16</v>
      </c>
      <c r="B32" t="s">
        <v>8</v>
      </c>
      <c r="C32" t="str">
        <f t="shared" si="0"/>
        <v>2003-04     - Q3</v>
      </c>
      <c r="D32">
        <v>1191659.3113411271</v>
      </c>
      <c r="J32" s="4">
        <v>40787</v>
      </c>
      <c r="K32" s="2">
        <v>20428701.644094601</v>
      </c>
    </row>
    <row r="33" spans="1:11" x14ac:dyDescent="0.3">
      <c r="A33" t="s">
        <v>16</v>
      </c>
      <c r="B33" t="s">
        <v>9</v>
      </c>
      <c r="C33" t="str">
        <f t="shared" si="0"/>
        <v>2003-04     - Q4</v>
      </c>
      <c r="D33">
        <v>1177081.0180688349</v>
      </c>
      <c r="J33" s="4">
        <v>40878</v>
      </c>
      <c r="K33" s="2">
        <v>22251352.279735502</v>
      </c>
    </row>
    <row r="34" spans="1:11" x14ac:dyDescent="0.3">
      <c r="A34" t="s">
        <v>17</v>
      </c>
      <c r="B34" t="s">
        <v>5</v>
      </c>
      <c r="C34" t="str">
        <f t="shared" si="0"/>
        <v>2004-05     - Q1</v>
      </c>
      <c r="D34">
        <v>1099495.5508626134</v>
      </c>
      <c r="J34" s="4">
        <v>40969</v>
      </c>
      <c r="K34" s="2">
        <v>23654613.993782599</v>
      </c>
    </row>
    <row r="35" spans="1:11" x14ac:dyDescent="0.3">
      <c r="A35" t="s">
        <v>17</v>
      </c>
      <c r="B35" t="s">
        <v>7</v>
      </c>
      <c r="C35" t="str">
        <f t="shared" si="0"/>
        <v>2004-05     - Q2</v>
      </c>
      <c r="D35">
        <v>1092816.3227525216</v>
      </c>
      <c r="J35" s="4">
        <v>41061</v>
      </c>
      <c r="K35" s="2">
        <v>22052234.405590799</v>
      </c>
    </row>
    <row r="36" spans="1:11" x14ac:dyDescent="0.3">
      <c r="A36" t="s">
        <v>17</v>
      </c>
      <c r="B36" t="s">
        <v>8</v>
      </c>
      <c r="C36" t="str">
        <f t="shared" si="0"/>
        <v>2004-05     - Q3</v>
      </c>
      <c r="D36">
        <v>1235631.888275625</v>
      </c>
      <c r="J36" s="4">
        <v>41153</v>
      </c>
      <c r="K36" s="2">
        <v>21959458.7512093</v>
      </c>
    </row>
    <row r="37" spans="1:11" x14ac:dyDescent="0.3">
      <c r="A37" t="s">
        <v>17</v>
      </c>
      <c r="B37" t="s">
        <v>9</v>
      </c>
      <c r="C37" t="str">
        <f t="shared" si="0"/>
        <v>2004-05     - Q4</v>
      </c>
      <c r="D37">
        <v>1272927.6729026774</v>
      </c>
      <c r="J37" s="4">
        <v>41244</v>
      </c>
      <c r="K37" s="2">
        <v>23447672.130017102</v>
      </c>
    </row>
    <row r="38" spans="1:11" x14ac:dyDescent="0.3">
      <c r="A38" t="s">
        <v>18</v>
      </c>
      <c r="B38" t="s">
        <v>5</v>
      </c>
      <c r="C38" t="str">
        <f t="shared" si="0"/>
        <v>2005-06     - Q1</v>
      </c>
      <c r="D38">
        <v>1202450.9005018054</v>
      </c>
      <c r="J38" s="4">
        <v>41334</v>
      </c>
      <c r="K38" s="2">
        <v>24670818.6723805</v>
      </c>
    </row>
    <row r="39" spans="1:11" x14ac:dyDescent="0.3">
      <c r="A39" t="s">
        <v>18</v>
      </c>
      <c r="B39" t="s">
        <v>7</v>
      </c>
      <c r="C39" t="str">
        <f t="shared" si="0"/>
        <v>2005-06     - Q2</v>
      </c>
      <c r="D39">
        <v>1190106.5099421069</v>
      </c>
      <c r="J39" s="4">
        <v>41426</v>
      </c>
      <c r="K39" s="2">
        <v>23473963.7073671</v>
      </c>
    </row>
    <row r="40" spans="1:11" x14ac:dyDescent="0.3">
      <c r="A40" t="s">
        <v>18</v>
      </c>
      <c r="B40" t="s">
        <v>8</v>
      </c>
      <c r="C40" t="str">
        <f t="shared" si="0"/>
        <v>2005-06     - Q3</v>
      </c>
      <c r="D40">
        <v>1354416.7870549352</v>
      </c>
      <c r="J40" s="4">
        <v>41518</v>
      </c>
      <c r="K40" s="2">
        <v>23570788.660974</v>
      </c>
    </row>
    <row r="41" spans="1:11" x14ac:dyDescent="0.3">
      <c r="A41" t="s">
        <v>18</v>
      </c>
      <c r="B41" t="s">
        <v>9</v>
      </c>
      <c r="C41" t="str">
        <f t="shared" si="0"/>
        <v>2005-06     - Q4</v>
      </c>
      <c r="D41">
        <v>1399407.4474582754</v>
      </c>
      <c r="J41" s="4">
        <v>41609</v>
      </c>
      <c r="K41" s="2">
        <v>24979973.426934902</v>
      </c>
    </row>
    <row r="42" spans="1:11" x14ac:dyDescent="0.3">
      <c r="A42" t="s">
        <v>19</v>
      </c>
      <c r="B42" t="s">
        <v>5</v>
      </c>
      <c r="C42" t="str">
        <f t="shared" si="0"/>
        <v>2006-07     - Q1</v>
      </c>
      <c r="D42">
        <v>1314450.5767884143</v>
      </c>
      <c r="J42" s="4">
        <v>41699</v>
      </c>
      <c r="K42" s="2">
        <v>25988975.613917399</v>
      </c>
    </row>
    <row r="43" spans="1:11" x14ac:dyDescent="0.3">
      <c r="A43" t="s">
        <v>19</v>
      </c>
      <c r="B43" t="s">
        <v>7</v>
      </c>
      <c r="C43" t="str">
        <f t="shared" si="0"/>
        <v>2006-07     - Q2</v>
      </c>
      <c r="D43">
        <v>1306472.5219899318</v>
      </c>
      <c r="J43" s="4">
        <v>41791</v>
      </c>
      <c r="K43" s="2">
        <v>25357505.874271099</v>
      </c>
    </row>
    <row r="44" spans="1:11" x14ac:dyDescent="0.3">
      <c r="A44" t="s">
        <v>19</v>
      </c>
      <c r="B44" t="s">
        <v>8</v>
      </c>
      <c r="C44" t="str">
        <f t="shared" si="0"/>
        <v>2006-07     - Q3</v>
      </c>
      <c r="D44">
        <v>1481132.2804614103</v>
      </c>
      <c r="J44" s="4">
        <v>41883</v>
      </c>
      <c r="K44" s="2">
        <v>25622415.838251401</v>
      </c>
    </row>
    <row r="45" spans="1:11" x14ac:dyDescent="0.3">
      <c r="A45" t="s">
        <v>19</v>
      </c>
      <c r="B45" t="s">
        <v>9</v>
      </c>
      <c r="C45" t="str">
        <f t="shared" si="0"/>
        <v>2006-07     - Q4</v>
      </c>
      <c r="D45">
        <v>1536788.8233655177</v>
      </c>
      <c r="J45" s="4">
        <v>41974</v>
      </c>
      <c r="K45" s="2">
        <v>26459471.351727501</v>
      </c>
    </row>
    <row r="46" spans="1:11" x14ac:dyDescent="0.3">
      <c r="A46" t="s">
        <v>20</v>
      </c>
      <c r="B46" t="s">
        <v>5</v>
      </c>
      <c r="C46" t="str">
        <f t="shared" si="0"/>
        <v>2007-08     - Q1</v>
      </c>
      <c r="D46">
        <v>1442159.5697811372</v>
      </c>
      <c r="J46" s="4">
        <v>42064</v>
      </c>
      <c r="K46" s="2">
        <v>27837332.326179098</v>
      </c>
    </row>
    <row r="47" spans="1:11" x14ac:dyDescent="0.3">
      <c r="A47" t="s">
        <v>20</v>
      </c>
      <c r="B47" t="s">
        <v>7</v>
      </c>
      <c r="C47" t="str">
        <f t="shared" si="0"/>
        <v>2007-08     - Q2</v>
      </c>
      <c r="D47">
        <v>1430970.043390166</v>
      </c>
      <c r="J47" s="4">
        <v>42156</v>
      </c>
      <c r="K47" s="2">
        <v>27282785.843469001</v>
      </c>
    </row>
    <row r="48" spans="1:11" x14ac:dyDescent="0.3">
      <c r="A48" t="s">
        <v>20</v>
      </c>
      <c r="B48" t="s">
        <v>8</v>
      </c>
      <c r="C48" t="str">
        <f t="shared" si="0"/>
        <v>2007-08     - Q3</v>
      </c>
      <c r="D48">
        <v>1622849.9340213675</v>
      </c>
      <c r="J48" s="4">
        <v>42248</v>
      </c>
      <c r="K48" s="2">
        <v>27680870.9967095</v>
      </c>
    </row>
    <row r="49" spans="1:11" x14ac:dyDescent="0.3">
      <c r="A49" t="s">
        <v>20</v>
      </c>
      <c r="B49" t="s">
        <v>9</v>
      </c>
      <c r="C49" t="str">
        <f t="shared" si="0"/>
        <v>2007-08     - Q4</v>
      </c>
      <c r="D49">
        <v>1668517.6928688381</v>
      </c>
      <c r="J49" s="4">
        <v>42339</v>
      </c>
      <c r="K49" s="2">
        <v>28363873.934655301</v>
      </c>
    </row>
    <row r="50" spans="1:11" x14ac:dyDescent="0.3">
      <c r="A50" t="s">
        <v>21</v>
      </c>
      <c r="B50" t="s">
        <v>5</v>
      </c>
      <c r="C50" t="str">
        <f t="shared" si="0"/>
        <v>2008-09     - Q1</v>
      </c>
      <c r="D50">
        <v>1583503.8699933961</v>
      </c>
      <c r="J50" s="4">
        <v>42430</v>
      </c>
      <c r="K50" s="2">
        <v>30367379.1151812</v>
      </c>
    </row>
    <row r="51" spans="1:11" x14ac:dyDescent="0.3">
      <c r="A51" t="s">
        <v>21</v>
      </c>
      <c r="B51" t="s">
        <v>7</v>
      </c>
      <c r="C51" t="str">
        <f t="shared" si="0"/>
        <v>2008-09     - Q2</v>
      </c>
      <c r="D51">
        <v>1552896.8055106991</v>
      </c>
      <c r="J51" s="4">
        <v>42522</v>
      </c>
      <c r="K51" s="2">
        <v>29650877.773652501</v>
      </c>
    </row>
    <row r="52" spans="1:11" x14ac:dyDescent="0.3">
      <c r="A52" t="s">
        <v>21</v>
      </c>
      <c r="B52" t="s">
        <v>8</v>
      </c>
      <c r="C52" t="str">
        <f t="shared" si="0"/>
        <v>2008-09     - Q3</v>
      </c>
      <c r="D52">
        <v>1716465.1219452627</v>
      </c>
      <c r="J52" s="4">
        <v>42614</v>
      </c>
      <c r="K52" s="2">
        <v>30357558.2534701</v>
      </c>
    </row>
    <row r="53" spans="1:11" x14ac:dyDescent="0.3">
      <c r="A53" t="s">
        <v>21</v>
      </c>
      <c r="B53" t="s">
        <v>9</v>
      </c>
      <c r="C53" t="str">
        <f t="shared" si="0"/>
        <v>2008-09     - Q4</v>
      </c>
      <c r="D53">
        <v>1726181.8010196786</v>
      </c>
      <c r="J53" s="4">
        <v>42705</v>
      </c>
      <c r="K53" s="2">
        <v>30796216.131299399</v>
      </c>
    </row>
    <row r="54" spans="1:11" x14ac:dyDescent="0.3">
      <c r="A54" t="s">
        <v>22</v>
      </c>
      <c r="B54" t="s">
        <v>5</v>
      </c>
      <c r="C54" t="str">
        <f t="shared" si="0"/>
        <v>2009-10     - Q1</v>
      </c>
      <c r="D54">
        <v>1677126.0041879653</v>
      </c>
      <c r="J54" s="4">
        <v>42795</v>
      </c>
      <c r="K54" s="2">
        <v>32277283.118877701</v>
      </c>
    </row>
    <row r="55" spans="1:11" x14ac:dyDescent="0.3">
      <c r="A55" t="s">
        <v>22</v>
      </c>
      <c r="B55" t="s">
        <v>7</v>
      </c>
      <c r="C55" t="str">
        <f t="shared" si="0"/>
        <v>2009-10     - Q2</v>
      </c>
      <c r="D55">
        <v>1696720.7375187152</v>
      </c>
      <c r="J55" s="4">
        <v>42887</v>
      </c>
      <c r="K55" s="2">
        <v>31463362.827235799</v>
      </c>
    </row>
    <row r="56" spans="1:11" x14ac:dyDescent="0.3">
      <c r="A56" t="s">
        <v>22</v>
      </c>
      <c r="B56" t="s">
        <v>8</v>
      </c>
      <c r="C56" t="str">
        <f t="shared" si="0"/>
        <v>2009-10     - Q3</v>
      </c>
      <c r="D56">
        <v>1848179.0971812194</v>
      </c>
      <c r="J56" s="4">
        <v>42979</v>
      </c>
      <c r="K56" s="2">
        <v>31971954.8529783</v>
      </c>
    </row>
    <row r="57" spans="1:11" x14ac:dyDescent="0.3">
      <c r="A57" t="s">
        <v>22</v>
      </c>
      <c r="B57" t="s">
        <v>9</v>
      </c>
      <c r="C57" t="str">
        <f t="shared" si="0"/>
        <v>2009-10     - Q4</v>
      </c>
      <c r="D57">
        <v>1922425.141675479</v>
      </c>
      <c r="J57" s="4">
        <v>43070</v>
      </c>
      <c r="K57" s="2">
        <v>32849916.555802599</v>
      </c>
    </row>
    <row r="58" spans="1:11" x14ac:dyDescent="0.3">
      <c r="A58" t="s">
        <v>23</v>
      </c>
      <c r="B58" t="s">
        <v>5</v>
      </c>
      <c r="C58" t="str">
        <f t="shared" si="0"/>
        <v>2010-11     - Q1</v>
      </c>
      <c r="D58">
        <v>1829536.5105984451</v>
      </c>
      <c r="J58" s="4">
        <v>43160</v>
      </c>
      <c r="K58" s="2">
        <v>35160583.516894899</v>
      </c>
    </row>
    <row r="59" spans="1:11" x14ac:dyDescent="0.3">
      <c r="A59" t="s">
        <v>23</v>
      </c>
      <c r="B59" t="s">
        <v>7</v>
      </c>
      <c r="C59" t="str">
        <f t="shared" si="0"/>
        <v>2010-11     - Q2</v>
      </c>
      <c r="D59">
        <v>1836517.009548038</v>
      </c>
      <c r="J59" s="4">
        <v>43252</v>
      </c>
      <c r="K59" s="2">
        <v>33823008.262527198</v>
      </c>
    </row>
    <row r="60" spans="1:11" x14ac:dyDescent="0.3">
      <c r="A60" t="s">
        <v>23</v>
      </c>
      <c r="B60" t="s">
        <v>8</v>
      </c>
      <c r="C60" t="str">
        <f t="shared" si="0"/>
        <v>2010-11     - Q3</v>
      </c>
      <c r="D60">
        <v>2008953.3017074426</v>
      </c>
      <c r="J60" s="4">
        <v>43344</v>
      </c>
      <c r="K60" s="2">
        <v>34036441.9032984</v>
      </c>
    </row>
    <row r="61" spans="1:11" x14ac:dyDescent="0.3">
      <c r="A61" t="s">
        <v>23</v>
      </c>
      <c r="B61" t="s">
        <v>9</v>
      </c>
      <c r="C61" t="str">
        <f t="shared" si="0"/>
        <v>2010-11     - Q4</v>
      </c>
      <c r="D61">
        <v>2106137.4707843331</v>
      </c>
      <c r="J61" s="4">
        <v>43435</v>
      </c>
      <c r="K61" s="2">
        <v>34897608.891947098</v>
      </c>
    </row>
    <row r="62" spans="1:11" x14ac:dyDescent="0.3">
      <c r="A62" t="s">
        <v>24</v>
      </c>
      <c r="B62" t="s">
        <v>5</v>
      </c>
      <c r="C62" t="str">
        <f t="shared" si="0"/>
        <v>2011-12     - Q1</v>
      </c>
      <c r="D62">
        <v>1969132</v>
      </c>
      <c r="J62" s="4">
        <v>43525</v>
      </c>
      <c r="K62" s="2">
        <v>37172100.382427998</v>
      </c>
    </row>
    <row r="63" spans="1:11" x14ac:dyDescent="0.3">
      <c r="A63" t="s">
        <v>24</v>
      </c>
      <c r="B63" t="s">
        <v>7</v>
      </c>
      <c r="C63" t="str">
        <f t="shared" si="0"/>
        <v>2011-12     - Q2</v>
      </c>
      <c r="D63">
        <v>1913207</v>
      </c>
      <c r="J63" s="4">
        <v>43617</v>
      </c>
      <c r="K63" s="2">
        <v>35546415.094634399</v>
      </c>
    </row>
    <row r="64" spans="1:11" x14ac:dyDescent="0.3">
      <c r="A64" t="s">
        <v>24</v>
      </c>
      <c r="B64" t="s">
        <v>8</v>
      </c>
      <c r="C64" t="str">
        <f t="shared" si="0"/>
        <v>2011-12     - Q3</v>
      </c>
      <c r="D64">
        <v>2073896</v>
      </c>
      <c r="J64" s="4">
        <v>43709</v>
      </c>
      <c r="K64" s="2">
        <v>35499454.536129802</v>
      </c>
    </row>
    <row r="65" spans="1:11" x14ac:dyDescent="0.3">
      <c r="A65" t="s">
        <v>24</v>
      </c>
      <c r="B65" t="s">
        <v>9</v>
      </c>
      <c r="C65" t="str">
        <f t="shared" si="0"/>
        <v>2011-12     - Q4</v>
      </c>
      <c r="D65">
        <v>2150712</v>
      </c>
      <c r="J65" s="4">
        <v>43800</v>
      </c>
      <c r="K65" s="2">
        <v>36033750.476866297</v>
      </c>
    </row>
    <row r="66" spans="1:11" x14ac:dyDescent="0.3">
      <c r="A66" t="s">
        <v>25</v>
      </c>
      <c r="B66" t="s">
        <v>5</v>
      </c>
      <c r="C66" t="str">
        <f t="shared" si="0"/>
        <v>2012-13     - Q1</v>
      </c>
      <c r="D66">
        <v>2074589</v>
      </c>
      <c r="J66" s="4">
        <v>43891</v>
      </c>
      <c r="K66" s="2">
        <v>38266786.4218072</v>
      </c>
    </row>
    <row r="67" spans="1:11" x14ac:dyDescent="0.3">
      <c r="A67" t="s">
        <v>25</v>
      </c>
      <c r="B67" t="s">
        <v>7</v>
      </c>
      <c r="C67" t="str">
        <f t="shared" ref="C67:C107" si="1">CONCATENATE(A67,"  - ", B67)</f>
        <v>2012-13     - Q2</v>
      </c>
      <c r="D67">
        <v>2047909</v>
      </c>
      <c r="J67" s="4">
        <v>43983</v>
      </c>
      <c r="K67" s="2">
        <v>27323061.624803402</v>
      </c>
    </row>
    <row r="68" spans="1:11" x14ac:dyDescent="0.3">
      <c r="A68" t="s">
        <v>25</v>
      </c>
      <c r="B68" t="s">
        <v>8</v>
      </c>
      <c r="C68" t="str">
        <f t="shared" si="1"/>
        <v>2012-13     - Q3</v>
      </c>
      <c r="D68">
        <v>2177528</v>
      </c>
      <c r="J68" s="4">
        <v>44075</v>
      </c>
      <c r="K68" s="2">
        <v>33426564.132057</v>
      </c>
    </row>
    <row r="69" spans="1:11" x14ac:dyDescent="0.3">
      <c r="A69" t="s">
        <v>25</v>
      </c>
      <c r="B69" t="s">
        <v>9</v>
      </c>
      <c r="C69" t="str">
        <f t="shared" si="1"/>
        <v>2012-13     - Q4</v>
      </c>
      <c r="D69">
        <v>2246251</v>
      </c>
      <c r="J69" s="4">
        <v>44166</v>
      </c>
      <c r="K69" s="2">
        <v>36673379.1770766</v>
      </c>
    </row>
    <row r="70" spans="1:11" x14ac:dyDescent="0.3">
      <c r="A70" t="s">
        <v>26</v>
      </c>
      <c r="B70" t="s">
        <v>5</v>
      </c>
      <c r="C70" t="str">
        <f t="shared" si="1"/>
        <v>2013-14     - Q1</v>
      </c>
      <c r="D70">
        <v>2206230</v>
      </c>
      <c r="J70" s="4">
        <v>44256</v>
      </c>
      <c r="K70" s="2">
        <v>39525684.405267604</v>
      </c>
    </row>
    <row r="71" spans="1:11" x14ac:dyDescent="0.3">
      <c r="A71" t="s">
        <v>26</v>
      </c>
      <c r="B71" t="s">
        <v>7</v>
      </c>
      <c r="C71" t="str">
        <f t="shared" si="1"/>
        <v>2013-14     - Q2</v>
      </c>
      <c r="D71">
        <v>2193897</v>
      </c>
      <c r="J71" s="4">
        <v>44348</v>
      </c>
      <c r="K71" s="2">
        <v>33507301.2579257</v>
      </c>
    </row>
    <row r="72" spans="1:11" x14ac:dyDescent="0.3">
      <c r="A72" t="s">
        <v>26</v>
      </c>
      <c r="B72" t="s">
        <v>8</v>
      </c>
      <c r="C72" t="str">
        <f t="shared" si="1"/>
        <v>2013-14     - Q3</v>
      </c>
      <c r="D72">
        <v>2314941</v>
      </c>
      <c r="J72" s="4">
        <v>44440</v>
      </c>
      <c r="K72" s="2">
        <v>36724381.378288202</v>
      </c>
    </row>
    <row r="73" spans="1:11" x14ac:dyDescent="0.3">
      <c r="A73" t="s">
        <v>26</v>
      </c>
      <c r="B73" t="s">
        <v>9</v>
      </c>
      <c r="C73" t="str">
        <f t="shared" si="1"/>
        <v>2013-14     - Q4</v>
      </c>
      <c r="D73">
        <v>2348579</v>
      </c>
      <c r="J73" s="4">
        <v>44531</v>
      </c>
      <c r="K73" s="2">
        <v>38701077.808663502</v>
      </c>
    </row>
    <row r="74" spans="1:11" x14ac:dyDescent="0.3">
      <c r="A74" t="s">
        <v>27</v>
      </c>
      <c r="B74" t="s">
        <v>5</v>
      </c>
      <c r="C74" t="str">
        <f t="shared" si="1"/>
        <v>2014-15     - Q1</v>
      </c>
      <c r="D74">
        <v>2377154</v>
      </c>
      <c r="J74" s="4">
        <v>44621</v>
      </c>
      <c r="K74" s="2">
        <v>41285702.090689301</v>
      </c>
    </row>
    <row r="75" spans="1:11" x14ac:dyDescent="0.3">
      <c r="A75" t="s">
        <v>27</v>
      </c>
      <c r="B75" t="s">
        <v>7</v>
      </c>
      <c r="C75" t="str">
        <f t="shared" si="1"/>
        <v>2014-15     - Q2</v>
      </c>
      <c r="D75">
        <v>2379356</v>
      </c>
      <c r="J75" s="4">
        <v>44713</v>
      </c>
      <c r="K75" s="2">
        <v>38027690.712416202</v>
      </c>
    </row>
    <row r="76" spans="1:11" x14ac:dyDescent="0.3">
      <c r="A76" t="s">
        <v>27</v>
      </c>
      <c r="B76" t="s">
        <v>8</v>
      </c>
      <c r="C76" t="str">
        <f t="shared" si="1"/>
        <v>2014-15     - Q3</v>
      </c>
      <c r="D76">
        <v>2457010</v>
      </c>
      <c r="J76" s="4">
        <v>44805</v>
      </c>
      <c r="K76" s="2">
        <v>38912507.250852004</v>
      </c>
    </row>
    <row r="77" spans="1:11" x14ac:dyDescent="0.3">
      <c r="A77" t="s">
        <v>27</v>
      </c>
      <c r="B77" t="s">
        <v>9</v>
      </c>
      <c r="C77" t="str">
        <f t="shared" si="1"/>
        <v>2014-15     - Q4</v>
      </c>
      <c r="D77">
        <v>2498612</v>
      </c>
      <c r="J77" s="4">
        <v>44896</v>
      </c>
      <c r="K77" s="2">
        <v>40575777.831861198</v>
      </c>
    </row>
    <row r="78" spans="1:11" x14ac:dyDescent="0.3">
      <c r="A78" t="s">
        <v>28</v>
      </c>
      <c r="B78" t="s">
        <v>5</v>
      </c>
      <c r="C78" t="str">
        <f t="shared" si="1"/>
        <v>2015-16     - Q1</v>
      </c>
      <c r="D78">
        <v>2560191</v>
      </c>
      <c r="J78" s="4">
        <v>44986</v>
      </c>
      <c r="K78" s="2">
        <v>44133157.960119002</v>
      </c>
    </row>
    <row r="79" spans="1:11" x14ac:dyDescent="0.3">
      <c r="A79" t="s">
        <v>28</v>
      </c>
      <c r="B79" t="s">
        <v>7</v>
      </c>
      <c r="C79" t="str">
        <f t="shared" si="1"/>
        <v>2015-16     - Q2</v>
      </c>
      <c r="D79">
        <v>2578225</v>
      </c>
      <c r="J79" s="4">
        <v>45078</v>
      </c>
      <c r="K79" s="2">
        <v>41701144.435351603</v>
      </c>
    </row>
    <row r="80" spans="1:11" x14ac:dyDescent="0.3">
      <c r="A80" t="s">
        <v>28</v>
      </c>
      <c r="B80" t="s">
        <v>8</v>
      </c>
      <c r="C80" t="str">
        <f t="shared" si="1"/>
        <v>2015-16     - Q3</v>
      </c>
      <c r="D80">
        <v>2637004</v>
      </c>
      <c r="J80" s="4">
        <v>45170</v>
      </c>
      <c r="K80" s="2">
        <v>42548057.935622402</v>
      </c>
    </row>
    <row r="81" spans="1:11" x14ac:dyDescent="0.3">
      <c r="A81" t="s">
        <v>28</v>
      </c>
      <c r="B81" t="s">
        <v>9</v>
      </c>
      <c r="C81" t="str">
        <f t="shared" si="1"/>
        <v>2015-16     - Q4</v>
      </c>
      <c r="D81">
        <v>2716448</v>
      </c>
      <c r="J81" s="4">
        <v>45261</v>
      </c>
      <c r="K81" s="2">
        <v>44436382.426613003</v>
      </c>
    </row>
    <row r="82" spans="1:11" x14ac:dyDescent="0.3">
      <c r="A82" t="s">
        <v>29</v>
      </c>
      <c r="B82" t="s">
        <v>5</v>
      </c>
      <c r="C82" t="str">
        <f t="shared" si="1"/>
        <v>2016-17     - Q1</v>
      </c>
      <c r="D82">
        <v>2798726</v>
      </c>
      <c r="J82" s="4">
        <v>45352</v>
      </c>
      <c r="K82" s="2">
        <v>47820324.684796803</v>
      </c>
    </row>
    <row r="83" spans="1:11" x14ac:dyDescent="0.3">
      <c r="A83" t="s">
        <v>29</v>
      </c>
      <c r="B83" t="s">
        <v>7</v>
      </c>
      <c r="C83" t="str">
        <f t="shared" si="1"/>
        <v>2016-17     - Q2</v>
      </c>
      <c r="D83">
        <v>2791994</v>
      </c>
      <c r="J83" s="4">
        <v>45444</v>
      </c>
      <c r="K83" s="2">
        <v>44416639.461550198</v>
      </c>
    </row>
    <row r="84" spans="1:11" x14ac:dyDescent="0.3">
      <c r="A84" t="s">
        <v>29</v>
      </c>
      <c r="B84" t="s">
        <v>8</v>
      </c>
      <c r="C84" t="str">
        <f t="shared" si="1"/>
        <v>2016-17     - Q3</v>
      </c>
      <c r="D84">
        <v>2835614</v>
      </c>
      <c r="J84" s="4">
        <v>45536</v>
      </c>
      <c r="K84" s="2">
        <v>44935865.5988378</v>
      </c>
    </row>
    <row r="85" spans="1:11" x14ac:dyDescent="0.3">
      <c r="A85" t="s">
        <v>29</v>
      </c>
      <c r="B85" t="s">
        <v>9</v>
      </c>
      <c r="C85" t="str">
        <f t="shared" si="1"/>
        <v>2016-17     - Q4</v>
      </c>
      <c r="D85">
        <v>2901951</v>
      </c>
      <c r="E85">
        <v>32277283.118877701</v>
      </c>
      <c r="J85" s="4">
        <v>45627</v>
      </c>
      <c r="K85" s="2">
        <v>47265418.298279598</v>
      </c>
    </row>
    <row r="86" spans="1:11" x14ac:dyDescent="0.3">
      <c r="A86" t="s">
        <v>30</v>
      </c>
      <c r="B86" t="s">
        <v>5</v>
      </c>
      <c r="C86" t="str">
        <f t="shared" si="1"/>
        <v>2017-18     - Q1</v>
      </c>
      <c r="D86">
        <v>2938107</v>
      </c>
      <c r="E86">
        <v>31463362.827235799</v>
      </c>
      <c r="J86" s="4">
        <v>45717</v>
      </c>
      <c r="K86" s="2">
        <v>51351631.0803179</v>
      </c>
    </row>
    <row r="87" spans="1:11" x14ac:dyDescent="0.3">
      <c r="A87" t="s">
        <v>30</v>
      </c>
      <c r="B87" t="s">
        <v>7</v>
      </c>
      <c r="C87" t="str">
        <f t="shared" si="1"/>
        <v>2017-18     - Q2</v>
      </c>
      <c r="D87">
        <v>2946670</v>
      </c>
      <c r="E87">
        <v>31971954.8529783</v>
      </c>
      <c r="J87" s="4">
        <v>45809</v>
      </c>
      <c r="K87" s="2">
        <v>47886233.614072502</v>
      </c>
    </row>
    <row r="88" spans="1:11" x14ac:dyDescent="0.3">
      <c r="A88" t="s">
        <v>30</v>
      </c>
      <c r="B88" t="s">
        <v>8</v>
      </c>
      <c r="C88" t="str">
        <f t="shared" si="1"/>
        <v>2017-18     - Q3</v>
      </c>
      <c r="D88">
        <v>3032795</v>
      </c>
      <c r="E88">
        <v>32849916.555802599</v>
      </c>
    </row>
    <row r="89" spans="1:11" x14ac:dyDescent="0.3">
      <c r="A89" t="s">
        <v>30</v>
      </c>
      <c r="B89" t="s">
        <v>9</v>
      </c>
      <c r="C89" t="str">
        <f t="shared" si="1"/>
        <v>2017-18     - Q4</v>
      </c>
      <c r="D89">
        <v>3116598</v>
      </c>
      <c r="E89">
        <v>35160583.516894899</v>
      </c>
    </row>
    <row r="90" spans="1:11" x14ac:dyDescent="0.3">
      <c r="A90" t="s">
        <v>31</v>
      </c>
      <c r="B90" t="s">
        <v>5</v>
      </c>
      <c r="C90" t="str">
        <f t="shared" si="1"/>
        <v>2018-19     - Q1</v>
      </c>
      <c r="D90">
        <v>3147143</v>
      </c>
      <c r="E90">
        <v>33823008.262527198</v>
      </c>
    </row>
    <row r="91" spans="1:11" x14ac:dyDescent="0.3">
      <c r="A91" t="s">
        <v>31</v>
      </c>
      <c r="B91" t="s">
        <v>7</v>
      </c>
      <c r="C91" t="str">
        <f t="shared" si="1"/>
        <v>2018-19     - Q2</v>
      </c>
      <c r="D91">
        <v>3127553</v>
      </c>
      <c r="E91">
        <v>34036441.9032984</v>
      </c>
    </row>
    <row r="92" spans="1:11" x14ac:dyDescent="0.3">
      <c r="A92" t="s">
        <v>31</v>
      </c>
      <c r="B92" t="s">
        <v>8</v>
      </c>
      <c r="C92" t="str">
        <f t="shared" si="1"/>
        <v>2018-19     - Q3</v>
      </c>
      <c r="D92">
        <v>3193097</v>
      </c>
      <c r="E92">
        <v>34897608.891947098</v>
      </c>
    </row>
    <row r="93" spans="1:11" x14ac:dyDescent="0.3">
      <c r="A93" t="s">
        <v>31</v>
      </c>
      <c r="B93" t="s">
        <v>9</v>
      </c>
      <c r="C93" t="str">
        <f t="shared" si="1"/>
        <v>2018-19     - Q4</v>
      </c>
      <c r="D93">
        <v>3266007</v>
      </c>
      <c r="E93">
        <v>37172100.382427998</v>
      </c>
    </row>
    <row r="94" spans="1:11" x14ac:dyDescent="0.3">
      <c r="A94" t="s">
        <v>32</v>
      </c>
      <c r="B94" t="s">
        <v>5</v>
      </c>
      <c r="C94" t="str">
        <f t="shared" si="1"/>
        <v>2019-20     - Q1</v>
      </c>
      <c r="D94">
        <v>3287872</v>
      </c>
      <c r="E94">
        <v>35546415.094634399</v>
      </c>
    </row>
    <row r="95" spans="1:11" x14ac:dyDescent="0.3">
      <c r="A95" t="s">
        <v>32</v>
      </c>
      <c r="B95" t="s">
        <v>7</v>
      </c>
      <c r="C95" t="str">
        <f t="shared" si="1"/>
        <v>2019-20     - Q2</v>
      </c>
      <c r="D95">
        <v>3256509</v>
      </c>
      <c r="E95">
        <v>35499454.536129802</v>
      </c>
    </row>
    <row r="96" spans="1:11" x14ac:dyDescent="0.3">
      <c r="A96" t="s">
        <v>32</v>
      </c>
      <c r="B96" t="s">
        <v>8</v>
      </c>
      <c r="C96" t="str">
        <f t="shared" si="1"/>
        <v>2019-20     - Q3</v>
      </c>
      <c r="D96">
        <v>3297492</v>
      </c>
      <c r="E96">
        <v>36033750.476866297</v>
      </c>
    </row>
    <row r="97" spans="1:5" x14ac:dyDescent="0.3">
      <c r="A97" t="s">
        <v>32</v>
      </c>
      <c r="B97" t="s">
        <v>9</v>
      </c>
      <c r="C97" t="str">
        <f t="shared" si="1"/>
        <v>2019-20     - Q4</v>
      </c>
      <c r="D97">
        <v>3377603</v>
      </c>
      <c r="E97">
        <v>38266786.4218072</v>
      </c>
    </row>
    <row r="98" spans="1:5" x14ac:dyDescent="0.3">
      <c r="A98" t="s">
        <v>33</v>
      </c>
      <c r="B98" t="s">
        <v>5</v>
      </c>
      <c r="C98" t="str">
        <f t="shared" si="1"/>
        <v>2020-21     - Q1</v>
      </c>
      <c r="D98">
        <v>2583801</v>
      </c>
      <c r="E98">
        <v>27323061.624803402</v>
      </c>
    </row>
    <row r="99" spans="1:5" x14ac:dyDescent="0.3">
      <c r="A99" t="s">
        <v>33</v>
      </c>
      <c r="B99" t="s">
        <v>7</v>
      </c>
      <c r="C99" t="str">
        <f t="shared" si="1"/>
        <v>2020-21     - Q2</v>
      </c>
      <c r="D99">
        <v>3064920</v>
      </c>
      <c r="E99">
        <v>33426564.132057</v>
      </c>
    </row>
    <row r="100" spans="1:5" x14ac:dyDescent="0.3">
      <c r="A100" t="s">
        <v>33</v>
      </c>
      <c r="B100" t="s">
        <v>8</v>
      </c>
      <c r="C100" t="str">
        <f t="shared" si="1"/>
        <v>2020-21     - Q3</v>
      </c>
      <c r="D100">
        <v>3366311</v>
      </c>
      <c r="E100">
        <v>36673379.1770766</v>
      </c>
    </row>
    <row r="101" spans="1:5" x14ac:dyDescent="0.3">
      <c r="A101" t="s">
        <v>33</v>
      </c>
      <c r="B101" t="s">
        <v>9</v>
      </c>
      <c r="C101" t="str">
        <f t="shared" si="1"/>
        <v>2020-21     - Q4</v>
      </c>
      <c r="D101">
        <v>3570041</v>
      </c>
      <c r="E101">
        <v>39525684.405267604</v>
      </c>
    </row>
    <row r="102" spans="1:5" x14ac:dyDescent="0.3">
      <c r="A102" t="s">
        <v>34</v>
      </c>
      <c r="B102" t="s">
        <v>5</v>
      </c>
      <c r="C102" t="str">
        <f t="shared" si="1"/>
        <v>2021-22     - Q1</v>
      </c>
      <c r="D102">
        <v>3052664</v>
      </c>
      <c r="E102">
        <v>33507301.2579257</v>
      </c>
    </row>
    <row r="103" spans="1:5" x14ac:dyDescent="0.3">
      <c r="A103" t="s">
        <v>34</v>
      </c>
      <c r="B103" t="s">
        <v>7</v>
      </c>
      <c r="C103" t="str">
        <f t="shared" si="1"/>
        <v>2021-22     - Q2</v>
      </c>
      <c r="D103">
        <v>3319248</v>
      </c>
      <c r="E103">
        <v>36724381.378288202</v>
      </c>
    </row>
    <row r="104" spans="1:5" x14ac:dyDescent="0.3">
      <c r="A104" t="s">
        <v>34</v>
      </c>
      <c r="B104" t="s">
        <v>8</v>
      </c>
      <c r="C104" t="str">
        <f t="shared" si="1"/>
        <v>2021-22     - Q3</v>
      </c>
      <c r="D104">
        <v>3524786</v>
      </c>
      <c r="E104">
        <v>38701077.808663502</v>
      </c>
    </row>
    <row r="105" spans="1:5" x14ac:dyDescent="0.3">
      <c r="A105" t="s">
        <v>34</v>
      </c>
      <c r="B105" t="s">
        <v>9</v>
      </c>
      <c r="C105" t="str">
        <f t="shared" si="1"/>
        <v>2021-22     - Q4</v>
      </c>
      <c r="D105">
        <v>3708776</v>
      </c>
      <c r="E105">
        <v>41285702.090689301</v>
      </c>
    </row>
    <row r="106" spans="1:5" x14ac:dyDescent="0.3">
      <c r="A106" t="s">
        <v>35</v>
      </c>
      <c r="B106" t="s">
        <v>5</v>
      </c>
      <c r="C106" t="str">
        <f t="shared" si="1"/>
        <v>2022-23     - Q1</v>
      </c>
      <c r="D106">
        <v>3441826</v>
      </c>
      <c r="E106">
        <v>38027690.712416202</v>
      </c>
    </row>
    <row r="107" spans="1:5" x14ac:dyDescent="0.3">
      <c r="A107" t="s">
        <v>35</v>
      </c>
      <c r="B107" t="s">
        <v>7</v>
      </c>
      <c r="C107" t="str">
        <f t="shared" si="1"/>
        <v>2022-23     - Q2</v>
      </c>
      <c r="D107">
        <v>3505599</v>
      </c>
      <c r="E107">
        <v>38912507.250852004</v>
      </c>
    </row>
    <row r="108" spans="1:5" x14ac:dyDescent="0.3">
      <c r="E108">
        <v>40575777.831861198</v>
      </c>
    </row>
    <row r="109" spans="1:5" x14ac:dyDescent="0.3">
      <c r="E109">
        <v>44133157.960119002</v>
      </c>
    </row>
    <row r="110" spans="1:5" x14ac:dyDescent="0.3">
      <c r="E110">
        <v>41701144.435351603</v>
      </c>
    </row>
    <row r="111" spans="1:5" x14ac:dyDescent="0.3">
      <c r="E111">
        <v>42548057.935622402</v>
      </c>
    </row>
    <row r="112" spans="1:5" x14ac:dyDescent="0.3">
      <c r="E112">
        <v>44436382.426613003</v>
      </c>
    </row>
    <row r="113" spans="5:5" x14ac:dyDescent="0.3">
      <c r="E113">
        <v>47820324.684796803</v>
      </c>
    </row>
    <row r="114" spans="5:5" x14ac:dyDescent="0.3">
      <c r="E114">
        <v>44416639.461550198</v>
      </c>
    </row>
    <row r="115" spans="5:5" x14ac:dyDescent="0.3">
      <c r="E115">
        <v>44935865.5988378</v>
      </c>
    </row>
    <row r="116" spans="5:5" x14ac:dyDescent="0.3">
      <c r="E116">
        <v>47265418.298279598</v>
      </c>
    </row>
    <row r="117" spans="5:5" x14ac:dyDescent="0.3">
      <c r="E117">
        <v>51351631.0803179</v>
      </c>
    </row>
    <row r="118" spans="5:5" x14ac:dyDescent="0.3">
      <c r="E118">
        <v>47886233.614072502</v>
      </c>
    </row>
  </sheetData>
  <hyperlinks>
    <hyperlink ref="K2" r:id="rId1" display="https://insights.ceicdata.com/series/365384367_SR87500827" xr:uid="{D2816E71-0327-4C6B-8D7C-1876CC877D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526C-C989-4060-B56C-EF045B003E61}">
  <dimension ref="A2:G118"/>
  <sheetViews>
    <sheetView topLeftCell="A94" workbookViewId="0">
      <selection activeCell="E85" sqref="E85:E93"/>
    </sheetView>
  </sheetViews>
  <sheetFormatPr defaultRowHeight="14.4" x14ac:dyDescent="0.3"/>
  <cols>
    <col min="1" max="1" width="10.109375" customWidth="1"/>
    <col min="2" max="2" width="8.88671875" customWidth="1"/>
    <col min="4" max="4" width="13.33203125" customWidth="1"/>
  </cols>
  <sheetData>
    <row r="2" spans="1:7" x14ac:dyDescent="0.3">
      <c r="A2" t="s">
        <v>5</v>
      </c>
      <c r="B2" s="5">
        <v>2004</v>
      </c>
      <c r="C2" s="6" t="s">
        <v>74</v>
      </c>
      <c r="D2" t="str">
        <f>_xlfn.CONCAT(F2,"-",G2," ", A2)</f>
        <v>1996-97 Q1</v>
      </c>
      <c r="F2">
        <v>1996</v>
      </c>
      <c r="G2" t="s">
        <v>82</v>
      </c>
    </row>
    <row r="3" spans="1:7" x14ac:dyDescent="0.3">
      <c r="A3" t="s">
        <v>7</v>
      </c>
      <c r="B3">
        <v>2004</v>
      </c>
      <c r="C3" s="6" t="s">
        <v>74</v>
      </c>
      <c r="D3" t="str">
        <f t="shared" ref="D3:D37" si="0">_xlfn.CONCAT(F3,"-",G3," ", A3)</f>
        <v>1996-97 Q2</v>
      </c>
      <c r="F3">
        <v>1996</v>
      </c>
      <c r="G3" t="s">
        <v>82</v>
      </c>
    </row>
    <row r="4" spans="1:7" x14ac:dyDescent="0.3">
      <c r="A4" t="s">
        <v>8</v>
      </c>
      <c r="B4">
        <v>2004</v>
      </c>
      <c r="C4" s="6" t="s">
        <v>74</v>
      </c>
      <c r="D4" t="str">
        <f t="shared" si="0"/>
        <v>1996-97 Q3</v>
      </c>
      <c r="F4">
        <v>1996</v>
      </c>
      <c r="G4" t="s">
        <v>82</v>
      </c>
    </row>
    <row r="5" spans="1:7" x14ac:dyDescent="0.3">
      <c r="A5" t="s">
        <v>9</v>
      </c>
      <c r="B5">
        <v>2004</v>
      </c>
      <c r="C5" s="6" t="s">
        <v>74</v>
      </c>
      <c r="D5" t="str">
        <f t="shared" si="0"/>
        <v>1996-97 Q4</v>
      </c>
      <c r="F5">
        <v>1996</v>
      </c>
      <c r="G5" t="s">
        <v>82</v>
      </c>
    </row>
    <row r="6" spans="1:7" x14ac:dyDescent="0.3">
      <c r="A6" t="s">
        <v>5</v>
      </c>
      <c r="B6">
        <v>2003</v>
      </c>
      <c r="C6" s="6" t="s">
        <v>75</v>
      </c>
      <c r="D6" t="str">
        <f t="shared" si="0"/>
        <v>1997-98 Q1</v>
      </c>
      <c r="F6">
        <v>1997</v>
      </c>
      <c r="G6" t="s">
        <v>81</v>
      </c>
    </row>
    <row r="7" spans="1:7" x14ac:dyDescent="0.3">
      <c r="A7" t="s">
        <v>7</v>
      </c>
      <c r="B7">
        <v>2003</v>
      </c>
      <c r="C7" s="6" t="s">
        <v>75</v>
      </c>
      <c r="D7" t="str">
        <f t="shared" si="0"/>
        <v>1997-98 Q2</v>
      </c>
      <c r="F7">
        <v>1997</v>
      </c>
      <c r="G7" t="s">
        <v>81</v>
      </c>
    </row>
    <row r="8" spans="1:7" x14ac:dyDescent="0.3">
      <c r="A8" t="s">
        <v>8</v>
      </c>
      <c r="B8">
        <v>2003</v>
      </c>
      <c r="C8" s="6" t="s">
        <v>75</v>
      </c>
      <c r="D8" t="str">
        <f t="shared" si="0"/>
        <v>1997-98 Q3</v>
      </c>
      <c r="F8">
        <v>1997</v>
      </c>
      <c r="G8" t="s">
        <v>81</v>
      </c>
    </row>
    <row r="9" spans="1:7" x14ac:dyDescent="0.3">
      <c r="A9" t="s">
        <v>9</v>
      </c>
      <c r="B9">
        <v>2003</v>
      </c>
      <c r="C9" s="6" t="s">
        <v>75</v>
      </c>
      <c r="D9" t="str">
        <f t="shared" si="0"/>
        <v>1997-98 Q4</v>
      </c>
      <c r="F9">
        <v>1997</v>
      </c>
      <c r="G9" t="s">
        <v>81</v>
      </c>
    </row>
    <row r="10" spans="1:7" x14ac:dyDescent="0.3">
      <c r="A10" t="s">
        <v>5</v>
      </c>
      <c r="B10">
        <v>2002</v>
      </c>
      <c r="C10" s="6" t="s">
        <v>76</v>
      </c>
      <c r="D10" t="str">
        <f t="shared" si="0"/>
        <v>1998-99 Q1</v>
      </c>
      <c r="F10">
        <v>1998</v>
      </c>
      <c r="G10" t="s">
        <v>80</v>
      </c>
    </row>
    <row r="11" spans="1:7" x14ac:dyDescent="0.3">
      <c r="A11" t="s">
        <v>7</v>
      </c>
      <c r="B11">
        <v>2002</v>
      </c>
      <c r="C11" s="6" t="s">
        <v>76</v>
      </c>
      <c r="D11" t="str">
        <f t="shared" si="0"/>
        <v>1998-99 Q2</v>
      </c>
      <c r="F11">
        <v>1998</v>
      </c>
      <c r="G11" t="s">
        <v>80</v>
      </c>
    </row>
    <row r="12" spans="1:7" x14ac:dyDescent="0.3">
      <c r="A12" t="s">
        <v>8</v>
      </c>
      <c r="B12">
        <v>2002</v>
      </c>
      <c r="C12" s="6" t="s">
        <v>76</v>
      </c>
      <c r="D12" t="str">
        <f t="shared" si="0"/>
        <v>1998-99 Q3</v>
      </c>
      <c r="F12">
        <v>1998</v>
      </c>
      <c r="G12" t="s">
        <v>80</v>
      </c>
    </row>
    <row r="13" spans="1:7" x14ac:dyDescent="0.3">
      <c r="A13" t="s">
        <v>9</v>
      </c>
      <c r="B13">
        <v>2002</v>
      </c>
      <c r="C13" s="6" t="s">
        <v>76</v>
      </c>
      <c r="D13" t="str">
        <f t="shared" si="0"/>
        <v>1998-99 Q4</v>
      </c>
      <c r="F13">
        <v>1998</v>
      </c>
      <c r="G13" t="s">
        <v>80</v>
      </c>
    </row>
    <row r="14" spans="1:7" x14ac:dyDescent="0.3">
      <c r="A14" t="s">
        <v>5</v>
      </c>
      <c r="B14">
        <v>2001</v>
      </c>
      <c r="C14" s="6" t="s">
        <v>77</v>
      </c>
      <c r="D14" t="str">
        <f t="shared" si="0"/>
        <v>1999-00 Q1</v>
      </c>
      <c r="F14">
        <v>1999</v>
      </c>
      <c r="G14" t="s">
        <v>79</v>
      </c>
    </row>
    <row r="15" spans="1:7" x14ac:dyDescent="0.3">
      <c r="A15" t="s">
        <v>7</v>
      </c>
      <c r="B15">
        <v>2001</v>
      </c>
      <c r="C15" s="6" t="s">
        <v>77</v>
      </c>
      <c r="D15" t="str">
        <f t="shared" si="0"/>
        <v>1999-00 Q2</v>
      </c>
      <c r="F15">
        <v>1999</v>
      </c>
      <c r="G15" t="s">
        <v>79</v>
      </c>
    </row>
    <row r="16" spans="1:7" x14ac:dyDescent="0.3">
      <c r="A16" t="s">
        <v>8</v>
      </c>
      <c r="B16">
        <v>2001</v>
      </c>
      <c r="C16" s="6" t="s">
        <v>77</v>
      </c>
      <c r="D16" t="str">
        <f t="shared" si="0"/>
        <v>1999-00 Q3</v>
      </c>
      <c r="F16">
        <v>1999</v>
      </c>
      <c r="G16" t="s">
        <v>79</v>
      </c>
    </row>
    <row r="17" spans="1:7" x14ac:dyDescent="0.3">
      <c r="A17" t="s">
        <v>9</v>
      </c>
      <c r="B17">
        <v>2001</v>
      </c>
      <c r="C17" s="6" t="s">
        <v>77</v>
      </c>
      <c r="D17" t="str">
        <f t="shared" si="0"/>
        <v>1999-00 Q4</v>
      </c>
      <c r="F17">
        <v>1999</v>
      </c>
      <c r="G17" t="s">
        <v>79</v>
      </c>
    </row>
    <row r="18" spans="1:7" x14ac:dyDescent="0.3">
      <c r="A18" t="s">
        <v>5</v>
      </c>
      <c r="B18">
        <v>2000</v>
      </c>
      <c r="C18" s="6" t="s">
        <v>78</v>
      </c>
      <c r="D18" t="str">
        <f t="shared" si="0"/>
        <v>2000-01 Q1</v>
      </c>
      <c r="F18">
        <v>2000</v>
      </c>
      <c r="G18" t="s">
        <v>78</v>
      </c>
    </row>
    <row r="19" spans="1:7" x14ac:dyDescent="0.3">
      <c r="A19" t="s">
        <v>7</v>
      </c>
      <c r="B19">
        <v>2000</v>
      </c>
      <c r="C19" s="6" t="s">
        <v>78</v>
      </c>
      <c r="D19" t="str">
        <f t="shared" si="0"/>
        <v>2000-01 Q2</v>
      </c>
      <c r="F19">
        <v>2000</v>
      </c>
      <c r="G19" t="s">
        <v>78</v>
      </c>
    </row>
    <row r="20" spans="1:7" x14ac:dyDescent="0.3">
      <c r="A20" t="s">
        <v>8</v>
      </c>
      <c r="B20">
        <v>2000</v>
      </c>
      <c r="C20" s="6" t="s">
        <v>78</v>
      </c>
      <c r="D20" t="str">
        <f t="shared" si="0"/>
        <v>2000-01 Q3</v>
      </c>
      <c r="F20">
        <v>2000</v>
      </c>
      <c r="G20" t="s">
        <v>78</v>
      </c>
    </row>
    <row r="21" spans="1:7" x14ac:dyDescent="0.3">
      <c r="A21" t="s">
        <v>9</v>
      </c>
      <c r="B21">
        <v>2000</v>
      </c>
      <c r="C21" s="6" t="s">
        <v>78</v>
      </c>
      <c r="D21" t="str">
        <f t="shared" si="0"/>
        <v>2000-01 Q4</v>
      </c>
      <c r="F21">
        <v>2000</v>
      </c>
      <c r="G21" t="s">
        <v>78</v>
      </c>
    </row>
    <row r="22" spans="1:7" x14ac:dyDescent="0.3">
      <c r="A22" t="s">
        <v>5</v>
      </c>
      <c r="B22">
        <v>1999</v>
      </c>
      <c r="C22" s="6" t="s">
        <v>79</v>
      </c>
      <c r="D22" t="str">
        <f t="shared" si="0"/>
        <v>2001-02 Q1</v>
      </c>
      <c r="F22">
        <v>2001</v>
      </c>
      <c r="G22" t="s">
        <v>77</v>
      </c>
    </row>
    <row r="23" spans="1:7" x14ac:dyDescent="0.3">
      <c r="A23" t="s">
        <v>7</v>
      </c>
      <c r="B23">
        <v>1999</v>
      </c>
      <c r="C23" s="6" t="s">
        <v>79</v>
      </c>
      <c r="D23" t="str">
        <f t="shared" si="0"/>
        <v>2001-02 Q2</v>
      </c>
      <c r="F23">
        <v>2001</v>
      </c>
      <c r="G23" t="s">
        <v>77</v>
      </c>
    </row>
    <row r="24" spans="1:7" x14ac:dyDescent="0.3">
      <c r="A24" t="s">
        <v>8</v>
      </c>
      <c r="B24">
        <v>1999</v>
      </c>
      <c r="C24" s="6" t="s">
        <v>79</v>
      </c>
      <c r="D24" t="str">
        <f t="shared" si="0"/>
        <v>2001-02 Q3</v>
      </c>
      <c r="F24">
        <v>2001</v>
      </c>
      <c r="G24" t="s">
        <v>77</v>
      </c>
    </row>
    <row r="25" spans="1:7" x14ac:dyDescent="0.3">
      <c r="A25" t="s">
        <v>9</v>
      </c>
      <c r="B25">
        <v>1999</v>
      </c>
      <c r="C25" s="6" t="s">
        <v>79</v>
      </c>
      <c r="D25" t="str">
        <f t="shared" si="0"/>
        <v>2001-02 Q4</v>
      </c>
      <c r="F25">
        <v>2001</v>
      </c>
      <c r="G25" t="s">
        <v>77</v>
      </c>
    </row>
    <row r="26" spans="1:7" x14ac:dyDescent="0.3">
      <c r="A26" t="s">
        <v>5</v>
      </c>
      <c r="B26">
        <v>1998</v>
      </c>
      <c r="C26" s="6" t="s">
        <v>80</v>
      </c>
      <c r="D26" t="str">
        <f t="shared" si="0"/>
        <v>2002-03 Q1</v>
      </c>
      <c r="F26">
        <v>2002</v>
      </c>
      <c r="G26" t="s">
        <v>76</v>
      </c>
    </row>
    <row r="27" spans="1:7" x14ac:dyDescent="0.3">
      <c r="A27" t="s">
        <v>7</v>
      </c>
      <c r="B27">
        <v>1998</v>
      </c>
      <c r="C27" s="6" t="s">
        <v>80</v>
      </c>
      <c r="D27" t="str">
        <f t="shared" si="0"/>
        <v>2002-03 Q2</v>
      </c>
      <c r="F27">
        <v>2002</v>
      </c>
      <c r="G27" t="s">
        <v>76</v>
      </c>
    </row>
    <row r="28" spans="1:7" x14ac:dyDescent="0.3">
      <c r="A28" t="s">
        <v>8</v>
      </c>
      <c r="B28">
        <v>1998</v>
      </c>
      <c r="C28" s="6" t="s">
        <v>80</v>
      </c>
      <c r="D28" t="str">
        <f t="shared" si="0"/>
        <v>2002-03 Q3</v>
      </c>
      <c r="F28">
        <v>2002</v>
      </c>
      <c r="G28" t="s">
        <v>76</v>
      </c>
    </row>
    <row r="29" spans="1:7" x14ac:dyDescent="0.3">
      <c r="A29" t="s">
        <v>9</v>
      </c>
      <c r="B29">
        <v>1998</v>
      </c>
      <c r="C29" s="6" t="s">
        <v>80</v>
      </c>
      <c r="D29" t="str">
        <f t="shared" si="0"/>
        <v>2002-03 Q4</v>
      </c>
      <c r="F29">
        <v>2002</v>
      </c>
      <c r="G29" t="s">
        <v>76</v>
      </c>
    </row>
    <row r="30" spans="1:7" x14ac:dyDescent="0.3">
      <c r="A30" t="s">
        <v>5</v>
      </c>
      <c r="B30">
        <v>1997</v>
      </c>
      <c r="C30" s="6" t="s">
        <v>81</v>
      </c>
      <c r="D30" t="str">
        <f t="shared" si="0"/>
        <v>2003-04 Q1</v>
      </c>
      <c r="F30">
        <v>2003</v>
      </c>
      <c r="G30" t="s">
        <v>75</v>
      </c>
    </row>
    <row r="31" spans="1:7" x14ac:dyDescent="0.3">
      <c r="A31" t="s">
        <v>7</v>
      </c>
      <c r="B31">
        <v>1997</v>
      </c>
      <c r="C31" s="6" t="s">
        <v>81</v>
      </c>
      <c r="D31" t="str">
        <f t="shared" si="0"/>
        <v>2003-04 Q2</v>
      </c>
      <c r="F31">
        <v>2003</v>
      </c>
      <c r="G31" t="s">
        <v>75</v>
      </c>
    </row>
    <row r="32" spans="1:7" x14ac:dyDescent="0.3">
      <c r="A32" t="s">
        <v>8</v>
      </c>
      <c r="B32">
        <v>1997</v>
      </c>
      <c r="C32" s="6" t="s">
        <v>81</v>
      </c>
      <c r="D32" t="str">
        <f t="shared" si="0"/>
        <v>2003-04 Q3</v>
      </c>
      <c r="F32">
        <v>2003</v>
      </c>
      <c r="G32" t="s">
        <v>75</v>
      </c>
    </row>
    <row r="33" spans="1:7" x14ac:dyDescent="0.3">
      <c r="A33" t="s">
        <v>9</v>
      </c>
      <c r="B33">
        <v>1997</v>
      </c>
      <c r="C33" s="6" t="s">
        <v>81</v>
      </c>
      <c r="D33" t="str">
        <f t="shared" si="0"/>
        <v>2003-04 Q4</v>
      </c>
      <c r="F33">
        <v>2003</v>
      </c>
      <c r="G33" t="s">
        <v>75</v>
      </c>
    </row>
    <row r="34" spans="1:7" x14ac:dyDescent="0.3">
      <c r="A34" t="s">
        <v>5</v>
      </c>
      <c r="B34">
        <v>1996</v>
      </c>
      <c r="C34" s="6" t="s">
        <v>82</v>
      </c>
      <c r="D34" t="str">
        <f t="shared" si="0"/>
        <v>2004-05 Q1</v>
      </c>
      <c r="F34">
        <v>2004</v>
      </c>
      <c r="G34" t="s">
        <v>74</v>
      </c>
    </row>
    <row r="35" spans="1:7" x14ac:dyDescent="0.3">
      <c r="A35" t="s">
        <v>7</v>
      </c>
      <c r="B35">
        <v>1996</v>
      </c>
      <c r="C35" s="6" t="s">
        <v>82</v>
      </c>
      <c r="D35" t="str">
        <f t="shared" si="0"/>
        <v>2004-05 Q2</v>
      </c>
      <c r="F35">
        <v>2004</v>
      </c>
      <c r="G35" t="s">
        <v>74</v>
      </c>
    </row>
    <row r="36" spans="1:7" x14ac:dyDescent="0.3">
      <c r="A36" t="s">
        <v>8</v>
      </c>
      <c r="B36">
        <v>1996</v>
      </c>
      <c r="C36" s="6" t="s">
        <v>82</v>
      </c>
      <c r="D36" t="str">
        <f t="shared" si="0"/>
        <v>2004-05 Q3</v>
      </c>
      <c r="F36">
        <v>2004</v>
      </c>
      <c r="G36" t="s">
        <v>74</v>
      </c>
    </row>
    <row r="37" spans="1:7" x14ac:dyDescent="0.3">
      <c r="A37" t="s">
        <v>9</v>
      </c>
      <c r="B37">
        <v>1996</v>
      </c>
      <c r="C37" s="6" t="s">
        <v>82</v>
      </c>
      <c r="D37" t="str">
        <f t="shared" si="0"/>
        <v>2004-05 Q4</v>
      </c>
      <c r="F37">
        <v>2004</v>
      </c>
      <c r="G37" t="s">
        <v>74</v>
      </c>
    </row>
    <row r="38" spans="1:7" x14ac:dyDescent="0.3">
      <c r="D38" t="s">
        <v>83</v>
      </c>
    </row>
    <row r="39" spans="1:7" x14ac:dyDescent="0.3">
      <c r="D39" t="s">
        <v>84</v>
      </c>
    </row>
    <row r="40" spans="1:7" x14ac:dyDescent="0.3">
      <c r="D40" t="s">
        <v>85</v>
      </c>
    </row>
    <row r="41" spans="1:7" x14ac:dyDescent="0.3">
      <c r="D41" t="s">
        <v>86</v>
      </c>
    </row>
    <row r="42" spans="1:7" x14ac:dyDescent="0.3">
      <c r="D42" t="s">
        <v>87</v>
      </c>
    </row>
    <row r="43" spans="1:7" x14ac:dyDescent="0.3">
      <c r="D43" t="s">
        <v>88</v>
      </c>
    </row>
    <row r="44" spans="1:7" x14ac:dyDescent="0.3">
      <c r="D44" t="s">
        <v>89</v>
      </c>
    </row>
    <row r="45" spans="1:7" x14ac:dyDescent="0.3">
      <c r="D45" t="s">
        <v>90</v>
      </c>
    </row>
    <row r="46" spans="1:7" x14ac:dyDescent="0.3">
      <c r="D46" t="s">
        <v>91</v>
      </c>
    </row>
    <row r="47" spans="1:7" x14ac:dyDescent="0.3">
      <c r="D47" t="s">
        <v>92</v>
      </c>
    </row>
    <row r="48" spans="1:7" x14ac:dyDescent="0.3">
      <c r="D48" t="s">
        <v>93</v>
      </c>
    </row>
    <row r="49" spans="4:4" x14ac:dyDescent="0.3">
      <c r="D49" t="s">
        <v>94</v>
      </c>
    </row>
    <row r="50" spans="4:4" x14ac:dyDescent="0.3">
      <c r="D50" t="s">
        <v>95</v>
      </c>
    </row>
    <row r="51" spans="4:4" x14ac:dyDescent="0.3">
      <c r="D51" t="s">
        <v>96</v>
      </c>
    </row>
    <row r="52" spans="4:4" x14ac:dyDescent="0.3">
      <c r="D52" t="s">
        <v>97</v>
      </c>
    </row>
    <row r="53" spans="4:4" x14ac:dyDescent="0.3">
      <c r="D53" t="s">
        <v>98</v>
      </c>
    </row>
    <row r="54" spans="4:4" x14ac:dyDescent="0.3">
      <c r="D54" t="s">
        <v>99</v>
      </c>
    </row>
    <row r="55" spans="4:4" x14ac:dyDescent="0.3">
      <c r="D55" t="s">
        <v>100</v>
      </c>
    </row>
    <row r="56" spans="4:4" x14ac:dyDescent="0.3">
      <c r="D56" t="s">
        <v>101</v>
      </c>
    </row>
    <row r="57" spans="4:4" x14ac:dyDescent="0.3">
      <c r="D57" t="s">
        <v>102</v>
      </c>
    </row>
    <row r="58" spans="4:4" x14ac:dyDescent="0.3">
      <c r="D58" t="s">
        <v>103</v>
      </c>
    </row>
    <row r="59" spans="4:4" x14ac:dyDescent="0.3">
      <c r="D59" t="s">
        <v>104</v>
      </c>
    </row>
    <row r="60" spans="4:4" x14ac:dyDescent="0.3">
      <c r="D60" t="s">
        <v>105</v>
      </c>
    </row>
    <row r="61" spans="4:4" x14ac:dyDescent="0.3">
      <c r="D61" t="s">
        <v>106</v>
      </c>
    </row>
    <row r="62" spans="4:4" x14ac:dyDescent="0.3">
      <c r="D62" t="s">
        <v>107</v>
      </c>
    </row>
    <row r="63" spans="4:4" x14ac:dyDescent="0.3">
      <c r="D63" t="s">
        <v>108</v>
      </c>
    </row>
    <row r="64" spans="4:4" x14ac:dyDescent="0.3">
      <c r="D64" t="s">
        <v>109</v>
      </c>
    </row>
    <row r="65" spans="4:4" x14ac:dyDescent="0.3">
      <c r="D65" t="s">
        <v>110</v>
      </c>
    </row>
    <row r="66" spans="4:4" x14ac:dyDescent="0.3">
      <c r="D66" t="s">
        <v>111</v>
      </c>
    </row>
    <row r="67" spans="4:4" x14ac:dyDescent="0.3">
      <c r="D67" t="s">
        <v>112</v>
      </c>
    </row>
    <row r="68" spans="4:4" x14ac:dyDescent="0.3">
      <c r="D68" t="s">
        <v>113</v>
      </c>
    </row>
    <row r="69" spans="4:4" x14ac:dyDescent="0.3">
      <c r="D69" t="s">
        <v>114</v>
      </c>
    </row>
    <row r="70" spans="4:4" x14ac:dyDescent="0.3">
      <c r="D70" t="s">
        <v>115</v>
      </c>
    </row>
    <row r="71" spans="4:4" x14ac:dyDescent="0.3">
      <c r="D71" t="s">
        <v>116</v>
      </c>
    </row>
    <row r="72" spans="4:4" x14ac:dyDescent="0.3">
      <c r="D72" t="s">
        <v>117</v>
      </c>
    </row>
    <row r="73" spans="4:4" x14ac:dyDescent="0.3">
      <c r="D73" t="s">
        <v>118</v>
      </c>
    </row>
    <row r="74" spans="4:4" x14ac:dyDescent="0.3">
      <c r="D74" t="s">
        <v>119</v>
      </c>
    </row>
    <row r="75" spans="4:4" x14ac:dyDescent="0.3">
      <c r="D75" t="s">
        <v>120</v>
      </c>
    </row>
    <row r="76" spans="4:4" x14ac:dyDescent="0.3">
      <c r="D76" t="s">
        <v>121</v>
      </c>
    </row>
    <row r="77" spans="4:4" x14ac:dyDescent="0.3">
      <c r="D77" t="s">
        <v>122</v>
      </c>
    </row>
    <row r="78" spans="4:4" x14ac:dyDescent="0.3">
      <c r="D78" t="s">
        <v>123</v>
      </c>
    </row>
    <row r="79" spans="4:4" x14ac:dyDescent="0.3">
      <c r="D79" t="s">
        <v>124</v>
      </c>
    </row>
    <row r="80" spans="4:4" x14ac:dyDescent="0.3">
      <c r="D80" t="s">
        <v>125</v>
      </c>
    </row>
    <row r="81" spans="4:4" x14ac:dyDescent="0.3">
      <c r="D81" t="s">
        <v>126</v>
      </c>
    </row>
    <row r="82" spans="4:4" x14ac:dyDescent="0.3">
      <c r="D82" t="s">
        <v>127</v>
      </c>
    </row>
    <row r="83" spans="4:4" x14ac:dyDescent="0.3">
      <c r="D83" t="s">
        <v>128</v>
      </c>
    </row>
    <row r="84" spans="4:4" x14ac:dyDescent="0.3">
      <c r="D84" t="s">
        <v>129</v>
      </c>
    </row>
    <row r="85" spans="4:4" x14ac:dyDescent="0.3">
      <c r="D85" t="s">
        <v>130</v>
      </c>
    </row>
    <row r="86" spans="4:4" x14ac:dyDescent="0.3">
      <c r="D86" t="s">
        <v>131</v>
      </c>
    </row>
    <row r="87" spans="4:4" x14ac:dyDescent="0.3">
      <c r="D87" t="s">
        <v>132</v>
      </c>
    </row>
    <row r="88" spans="4:4" x14ac:dyDescent="0.3">
      <c r="D88" t="s">
        <v>133</v>
      </c>
    </row>
    <row r="89" spans="4:4" x14ac:dyDescent="0.3">
      <c r="D89" t="s">
        <v>134</v>
      </c>
    </row>
    <row r="90" spans="4:4" x14ac:dyDescent="0.3">
      <c r="D90" t="s">
        <v>135</v>
      </c>
    </row>
    <row r="91" spans="4:4" x14ac:dyDescent="0.3">
      <c r="D91" t="s">
        <v>136</v>
      </c>
    </row>
    <row r="92" spans="4:4" x14ac:dyDescent="0.3">
      <c r="D92" t="s">
        <v>137</v>
      </c>
    </row>
    <row r="93" spans="4:4" x14ac:dyDescent="0.3">
      <c r="D93" t="s">
        <v>138</v>
      </c>
    </row>
    <row r="94" spans="4:4" x14ac:dyDescent="0.3">
      <c r="D94" t="s">
        <v>139</v>
      </c>
    </row>
    <row r="95" spans="4:4" x14ac:dyDescent="0.3">
      <c r="D95" t="s">
        <v>140</v>
      </c>
    </row>
    <row r="96" spans="4:4" x14ac:dyDescent="0.3">
      <c r="D96" t="s">
        <v>141</v>
      </c>
    </row>
    <row r="97" spans="4:4" x14ac:dyDescent="0.3">
      <c r="D97" t="s">
        <v>142</v>
      </c>
    </row>
    <row r="98" spans="4:4" x14ac:dyDescent="0.3">
      <c r="D98" t="s">
        <v>143</v>
      </c>
    </row>
    <row r="99" spans="4:4" x14ac:dyDescent="0.3">
      <c r="D99" t="s">
        <v>144</v>
      </c>
    </row>
    <row r="100" spans="4:4" x14ac:dyDescent="0.3">
      <c r="D100" t="s">
        <v>145</v>
      </c>
    </row>
    <row r="101" spans="4:4" x14ac:dyDescent="0.3">
      <c r="D101" t="s">
        <v>146</v>
      </c>
    </row>
    <row r="102" spans="4:4" x14ac:dyDescent="0.3">
      <c r="D102" t="s">
        <v>147</v>
      </c>
    </row>
    <row r="103" spans="4:4" x14ac:dyDescent="0.3">
      <c r="D103" t="s">
        <v>148</v>
      </c>
    </row>
    <row r="104" spans="4:4" x14ac:dyDescent="0.3">
      <c r="D104" t="s">
        <v>149</v>
      </c>
    </row>
    <row r="105" spans="4:4" x14ac:dyDescent="0.3">
      <c r="D105" t="s">
        <v>150</v>
      </c>
    </row>
    <row r="106" spans="4:4" x14ac:dyDescent="0.3">
      <c r="D106" t="s">
        <v>151</v>
      </c>
    </row>
    <row r="107" spans="4:4" x14ac:dyDescent="0.3">
      <c r="D107" t="s">
        <v>152</v>
      </c>
    </row>
    <row r="108" spans="4:4" x14ac:dyDescent="0.3">
      <c r="D108" t="s">
        <v>153</v>
      </c>
    </row>
    <row r="109" spans="4:4" x14ac:dyDescent="0.3">
      <c r="D109" t="s">
        <v>154</v>
      </c>
    </row>
    <row r="110" spans="4:4" x14ac:dyDescent="0.3">
      <c r="D110" t="s">
        <v>155</v>
      </c>
    </row>
    <row r="111" spans="4:4" x14ac:dyDescent="0.3">
      <c r="D111" t="s">
        <v>156</v>
      </c>
    </row>
    <row r="112" spans="4:4" x14ac:dyDescent="0.3">
      <c r="D112" t="s">
        <v>157</v>
      </c>
    </row>
    <row r="113" spans="4:4" x14ac:dyDescent="0.3">
      <c r="D113" t="s">
        <v>158</v>
      </c>
    </row>
    <row r="114" spans="4:4" x14ac:dyDescent="0.3">
      <c r="D114" t="s">
        <v>159</v>
      </c>
    </row>
    <row r="115" spans="4:4" x14ac:dyDescent="0.3">
      <c r="D115" t="s">
        <v>160</v>
      </c>
    </row>
    <row r="116" spans="4:4" x14ac:dyDescent="0.3">
      <c r="D116" t="s">
        <v>161</v>
      </c>
    </row>
    <row r="117" spans="4:4" x14ac:dyDescent="0.3">
      <c r="D117" t="s">
        <v>162</v>
      </c>
    </row>
    <row r="118" spans="4:4" x14ac:dyDescent="0.3">
      <c r="D118" t="s">
        <v>163</v>
      </c>
    </row>
  </sheetData>
  <sortState xmlns:xlrd2="http://schemas.microsoft.com/office/spreadsheetml/2017/richdata2" ref="F2:G37">
    <sortCondition ref="F2:F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9AAC-C4AA-46F0-8EE6-5355376F9B34}">
  <dimension ref="A1:I118"/>
  <sheetViews>
    <sheetView topLeftCell="A94" workbookViewId="0">
      <selection activeCell="E85" sqref="E85:E93"/>
    </sheetView>
  </sheetViews>
  <sheetFormatPr defaultRowHeight="14.4" x14ac:dyDescent="0.3"/>
  <cols>
    <col min="1" max="1" width="12.44140625" customWidth="1"/>
  </cols>
  <sheetData>
    <row r="1" spans="1:4" x14ac:dyDescent="0.3">
      <c r="A1" t="s">
        <v>1</v>
      </c>
      <c r="B1" t="s">
        <v>200</v>
      </c>
      <c r="C1" t="s">
        <v>73</v>
      </c>
      <c r="D1" t="s">
        <v>201</v>
      </c>
    </row>
    <row r="2" spans="1:4" x14ac:dyDescent="0.3">
      <c r="A2" t="s">
        <v>164</v>
      </c>
      <c r="B2">
        <v>388464</v>
      </c>
      <c r="D2">
        <f t="shared" ref="D2:D32" si="0">B2*$I$34</f>
        <v>762903.21940697567</v>
      </c>
    </row>
    <row r="3" spans="1:4" x14ac:dyDescent="0.3">
      <c r="A3" t="s">
        <v>165</v>
      </c>
      <c r="B3">
        <v>358180</v>
      </c>
      <c r="D3">
        <f t="shared" si="0"/>
        <v>703428.56771075458</v>
      </c>
    </row>
    <row r="4" spans="1:4" x14ac:dyDescent="0.3">
      <c r="A4" t="s">
        <v>166</v>
      </c>
      <c r="B4">
        <v>445899</v>
      </c>
      <c r="D4">
        <f t="shared" si="0"/>
        <v>875699.63402104459</v>
      </c>
    </row>
    <row r="5" spans="1:4" x14ac:dyDescent="0.3">
      <c r="A5" t="s">
        <v>167</v>
      </c>
      <c r="B5">
        <v>452491</v>
      </c>
      <c r="D5">
        <f t="shared" si="0"/>
        <v>888645.64194541017</v>
      </c>
    </row>
    <row r="6" spans="1:4" x14ac:dyDescent="0.3">
      <c r="A6" t="s">
        <v>168</v>
      </c>
      <c r="B6">
        <v>401130</v>
      </c>
      <c r="D6">
        <f t="shared" si="0"/>
        <v>787777.93669611635</v>
      </c>
    </row>
    <row r="7" spans="1:4" x14ac:dyDescent="0.3">
      <c r="A7" t="s">
        <v>169</v>
      </c>
      <c r="B7">
        <v>375517</v>
      </c>
      <c r="D7">
        <f t="shared" si="0"/>
        <v>737476.64710770955</v>
      </c>
    </row>
    <row r="8" spans="1:4" x14ac:dyDescent="0.3">
      <c r="A8" t="s">
        <v>170</v>
      </c>
      <c r="B8">
        <v>461645</v>
      </c>
      <c r="D8">
        <f t="shared" si="0"/>
        <v>906623.15355639975</v>
      </c>
    </row>
    <row r="9" spans="1:4" x14ac:dyDescent="0.3">
      <c r="A9" t="s">
        <v>171</v>
      </c>
      <c r="B9">
        <v>473441</v>
      </c>
      <c r="D9">
        <f t="shared" si="0"/>
        <v>929789.28060066816</v>
      </c>
    </row>
    <row r="10" spans="1:4" x14ac:dyDescent="0.3">
      <c r="A10" t="s">
        <v>172</v>
      </c>
      <c r="B10">
        <v>426539</v>
      </c>
      <c r="D10">
        <f t="shared" si="0"/>
        <v>837678.59133055317</v>
      </c>
    </row>
    <row r="11" spans="1:4" x14ac:dyDescent="0.3">
      <c r="A11" t="s">
        <v>173</v>
      </c>
      <c r="B11">
        <v>404842</v>
      </c>
      <c r="D11">
        <f t="shared" si="0"/>
        <v>795067.9217409048</v>
      </c>
    </row>
    <row r="12" spans="1:4" x14ac:dyDescent="0.3">
      <c r="A12" t="s">
        <v>174</v>
      </c>
      <c r="B12">
        <v>487052</v>
      </c>
      <c r="D12">
        <f t="shared" si="0"/>
        <v>956519.8803971702</v>
      </c>
    </row>
    <row r="13" spans="1:4" x14ac:dyDescent="0.3">
      <c r="A13" t="s">
        <v>175</v>
      </c>
      <c r="B13">
        <v>499319</v>
      </c>
      <c r="D13">
        <f t="shared" si="0"/>
        <v>980611.00284986943</v>
      </c>
    </row>
    <row r="14" spans="1:4" x14ac:dyDescent="0.3">
      <c r="A14" t="s">
        <v>176</v>
      </c>
      <c r="B14">
        <v>459655</v>
      </c>
      <c r="D14">
        <f t="shared" si="0"/>
        <v>902714.99885835859</v>
      </c>
    </row>
    <row r="15" spans="1:4" x14ac:dyDescent="0.3">
      <c r="A15" t="s">
        <v>177</v>
      </c>
      <c r="B15">
        <v>436795</v>
      </c>
      <c r="D15">
        <f t="shared" si="0"/>
        <v>857820.3172517143</v>
      </c>
    </row>
    <row r="16" spans="1:4" x14ac:dyDescent="0.3">
      <c r="A16" t="s">
        <v>178</v>
      </c>
      <c r="B16">
        <v>520030</v>
      </c>
      <c r="D16">
        <f t="shared" si="0"/>
        <v>1021285.2701619959</v>
      </c>
    </row>
    <row r="17" spans="1:4" x14ac:dyDescent="0.3">
      <c r="A17" t="s">
        <v>179</v>
      </c>
      <c r="B17">
        <v>535554</v>
      </c>
      <c r="D17">
        <f t="shared" si="0"/>
        <v>1051772.8046003836</v>
      </c>
    </row>
    <row r="18" spans="1:4" x14ac:dyDescent="0.3">
      <c r="A18" t="s">
        <v>180</v>
      </c>
      <c r="B18">
        <v>483745</v>
      </c>
      <c r="D18">
        <f t="shared" si="0"/>
        <v>950025.27356982231</v>
      </c>
    </row>
    <row r="19" spans="1:4" x14ac:dyDescent="0.3">
      <c r="A19" t="s">
        <v>181</v>
      </c>
      <c r="B19">
        <v>465780</v>
      </c>
      <c r="D19">
        <f t="shared" si="0"/>
        <v>914743.8669616261</v>
      </c>
    </row>
    <row r="20" spans="1:4" x14ac:dyDescent="0.3">
      <c r="A20" t="s">
        <v>182</v>
      </c>
      <c r="B20">
        <v>539781</v>
      </c>
      <c r="D20">
        <f t="shared" si="0"/>
        <v>1060074.1965142633</v>
      </c>
    </row>
    <row r="21" spans="1:4" x14ac:dyDescent="0.3">
      <c r="A21" t="s">
        <v>183</v>
      </c>
      <c r="B21">
        <v>541404</v>
      </c>
      <c r="D21">
        <f t="shared" si="0"/>
        <v>1063261.6010745249</v>
      </c>
    </row>
    <row r="22" spans="1:4" x14ac:dyDescent="0.3">
      <c r="A22" t="s">
        <v>184</v>
      </c>
      <c r="B22">
        <v>502311</v>
      </c>
      <c r="D22">
        <f t="shared" si="0"/>
        <v>986486.98217476357</v>
      </c>
    </row>
    <row r="23" spans="1:4" x14ac:dyDescent="0.3">
      <c r="A23" t="s">
        <v>185</v>
      </c>
      <c r="B23">
        <v>486070</v>
      </c>
      <c r="D23">
        <f t="shared" si="0"/>
        <v>954591.33370698104</v>
      </c>
    </row>
    <row r="24" spans="1:4" x14ac:dyDescent="0.3">
      <c r="A24" t="s">
        <v>186</v>
      </c>
      <c r="B24">
        <v>573739</v>
      </c>
      <c r="D24">
        <f t="shared" si="0"/>
        <v>1126764.2051756117</v>
      </c>
    </row>
    <row r="25" spans="1:4" x14ac:dyDescent="0.3">
      <c r="A25" t="s">
        <v>187</v>
      </c>
      <c r="B25">
        <v>574530</v>
      </c>
      <c r="D25">
        <f t="shared" si="0"/>
        <v>1128317.6475706622</v>
      </c>
    </row>
    <row r="26" spans="1:4" x14ac:dyDescent="0.3">
      <c r="A26" t="s">
        <v>188</v>
      </c>
      <c r="B26">
        <v>527776</v>
      </c>
      <c r="D26">
        <f t="shared" si="0"/>
        <v>1036497.6150318588</v>
      </c>
    </row>
    <row r="27" spans="1:4" x14ac:dyDescent="0.3">
      <c r="A27" t="s">
        <v>189</v>
      </c>
      <c r="B27">
        <v>512046</v>
      </c>
      <c r="D27">
        <f t="shared" si="0"/>
        <v>1005605.5178458345</v>
      </c>
    </row>
    <row r="28" spans="1:4" x14ac:dyDescent="0.3">
      <c r="A28" t="s">
        <v>190</v>
      </c>
      <c r="B28">
        <v>585055</v>
      </c>
      <c r="D28">
        <f t="shared" si="0"/>
        <v>1148987.6617399505</v>
      </c>
    </row>
    <row r="29" spans="1:4" x14ac:dyDescent="0.3">
      <c r="A29" t="s">
        <v>191</v>
      </c>
      <c r="B29">
        <v>592260</v>
      </c>
      <c r="D29">
        <f t="shared" si="0"/>
        <v>1163137.5384230595</v>
      </c>
    </row>
    <row r="30" spans="1:4" x14ac:dyDescent="0.3">
      <c r="A30" t="s">
        <v>192</v>
      </c>
      <c r="B30">
        <v>553654</v>
      </c>
      <c r="D30">
        <f t="shared" si="0"/>
        <v>1087319.3372810599</v>
      </c>
    </row>
    <row r="31" spans="1:4" x14ac:dyDescent="0.3">
      <c r="A31" t="s">
        <v>193</v>
      </c>
      <c r="B31">
        <v>553522</v>
      </c>
      <c r="D31">
        <f t="shared" si="0"/>
        <v>1087060.1028990794</v>
      </c>
    </row>
    <row r="32" spans="1:4" x14ac:dyDescent="0.3">
      <c r="A32" t="s">
        <v>194</v>
      </c>
      <c r="B32">
        <v>650670</v>
      </c>
      <c r="D32">
        <f t="shared" si="0"/>
        <v>1277848.7524494852</v>
      </c>
    </row>
    <row r="33" spans="1:9" x14ac:dyDescent="0.3">
      <c r="A33" t="s">
        <v>195</v>
      </c>
      <c r="B33">
        <v>644884</v>
      </c>
      <c r="D33">
        <f>B33*$I$34</f>
        <v>1266485.645372668</v>
      </c>
    </row>
    <row r="34" spans="1:9" x14ac:dyDescent="0.3">
      <c r="A34" t="s">
        <v>196</v>
      </c>
      <c r="B34">
        <v>599494</v>
      </c>
      <c r="C34">
        <v>750043</v>
      </c>
      <c r="D34">
        <f t="shared" ref="D34:D55" si="1">C34*$H$75</f>
        <v>1185498.6321878724</v>
      </c>
      <c r="I34">
        <f>GEOMEAN(D34:D55)/GEOMEAN(B34:B55)</f>
        <v>1.963896833186539</v>
      </c>
    </row>
    <row r="35" spans="1:9" x14ac:dyDescent="0.3">
      <c r="A35" t="s">
        <v>197</v>
      </c>
      <c r="B35">
        <v>602241</v>
      </c>
      <c r="C35">
        <v>758082</v>
      </c>
      <c r="D35">
        <f t="shared" si="1"/>
        <v>1198204.8683692091</v>
      </c>
    </row>
    <row r="36" spans="1:9" x14ac:dyDescent="0.3">
      <c r="A36" t="s">
        <v>198</v>
      </c>
      <c r="B36">
        <v>689075</v>
      </c>
      <c r="C36">
        <v>850387</v>
      </c>
      <c r="D36">
        <f t="shared" si="1"/>
        <v>1344099.7720535332</v>
      </c>
    </row>
    <row r="37" spans="1:9" x14ac:dyDescent="0.3">
      <c r="A37" t="s">
        <v>199</v>
      </c>
      <c r="B37">
        <v>711256</v>
      </c>
      <c r="C37">
        <v>883697</v>
      </c>
      <c r="D37">
        <f t="shared" si="1"/>
        <v>1396748.699432601</v>
      </c>
    </row>
    <row r="38" spans="1:9" x14ac:dyDescent="0.3">
      <c r="A38" t="s">
        <v>83</v>
      </c>
      <c r="B38">
        <v>653510</v>
      </c>
      <c r="C38">
        <v>819226</v>
      </c>
      <c r="D38">
        <f t="shared" si="1"/>
        <v>1294847.4986803983</v>
      </c>
    </row>
    <row r="39" spans="1:9" x14ac:dyDescent="0.3">
      <c r="A39" t="s">
        <v>84</v>
      </c>
      <c r="B39">
        <v>653336</v>
      </c>
      <c r="C39">
        <v>822092</v>
      </c>
      <c r="D39">
        <f t="shared" si="1"/>
        <v>1299377.4244044574</v>
      </c>
    </row>
    <row r="40" spans="1:9" x14ac:dyDescent="0.3">
      <c r="A40" t="s">
        <v>85</v>
      </c>
      <c r="B40">
        <v>751152</v>
      </c>
      <c r="C40">
        <v>926696</v>
      </c>
      <c r="D40">
        <f t="shared" si="1"/>
        <v>1464711.8104614969</v>
      </c>
    </row>
    <row r="41" spans="1:9" x14ac:dyDescent="0.3">
      <c r="A41" t="s">
        <v>86</v>
      </c>
      <c r="B41">
        <v>786943</v>
      </c>
      <c r="C41">
        <v>975230</v>
      </c>
      <c r="D41">
        <f t="shared" si="1"/>
        <v>1541423.3998165156</v>
      </c>
    </row>
    <row r="42" spans="1:9" x14ac:dyDescent="0.3">
      <c r="A42" t="s">
        <v>87</v>
      </c>
      <c r="B42">
        <v>705625</v>
      </c>
      <c r="C42">
        <v>879898</v>
      </c>
      <c r="D42">
        <f t="shared" si="1"/>
        <v>1390744.0979581764</v>
      </c>
    </row>
    <row r="43" spans="1:9" x14ac:dyDescent="0.3">
      <c r="A43" t="s">
        <v>88</v>
      </c>
      <c r="B43">
        <v>724152</v>
      </c>
      <c r="C43">
        <v>906265</v>
      </c>
      <c r="D43">
        <f t="shared" si="1"/>
        <v>1432419.0985046753</v>
      </c>
    </row>
    <row r="44" spans="1:9" x14ac:dyDescent="0.3">
      <c r="A44" t="s">
        <v>89</v>
      </c>
      <c r="B44">
        <v>824381</v>
      </c>
      <c r="C44">
        <v>1014524</v>
      </c>
      <c r="D44">
        <f t="shared" si="1"/>
        <v>1603530.4833479801</v>
      </c>
    </row>
    <row r="45" spans="1:9" x14ac:dyDescent="0.3">
      <c r="A45" t="s">
        <v>90</v>
      </c>
      <c r="B45">
        <v>865872</v>
      </c>
      <c r="C45">
        <v>1070802</v>
      </c>
      <c r="D45">
        <f t="shared" si="1"/>
        <v>1692482.0394884537</v>
      </c>
    </row>
    <row r="46" spans="1:9" x14ac:dyDescent="0.3">
      <c r="A46" t="s">
        <v>91</v>
      </c>
      <c r="B46">
        <v>770241</v>
      </c>
      <c r="C46">
        <v>975012</v>
      </c>
      <c r="D46">
        <f t="shared" si="1"/>
        <v>1541078.83463583</v>
      </c>
    </row>
    <row r="47" spans="1:9" x14ac:dyDescent="0.3">
      <c r="A47" t="s">
        <v>92</v>
      </c>
      <c r="B47">
        <v>788041</v>
      </c>
      <c r="C47">
        <v>989102</v>
      </c>
      <c r="D47">
        <f t="shared" si="1"/>
        <v>1563349.1254425265</v>
      </c>
    </row>
    <row r="48" spans="1:9" x14ac:dyDescent="0.3">
      <c r="A48" t="s">
        <v>93</v>
      </c>
      <c r="B48">
        <v>901966</v>
      </c>
      <c r="C48">
        <v>1121528</v>
      </c>
      <c r="D48">
        <f t="shared" si="1"/>
        <v>1772658.2475410078</v>
      </c>
    </row>
    <row r="49" spans="1:4" x14ac:dyDescent="0.3">
      <c r="A49" t="s">
        <v>94</v>
      </c>
      <c r="B49">
        <v>942467</v>
      </c>
      <c r="C49">
        <v>1165306</v>
      </c>
      <c r="D49">
        <f t="shared" si="1"/>
        <v>1841852.6258898769</v>
      </c>
    </row>
    <row r="50" spans="1:4" x14ac:dyDescent="0.3">
      <c r="A50" t="s">
        <v>95</v>
      </c>
      <c r="B50">
        <v>833630</v>
      </c>
      <c r="C50">
        <v>1053833</v>
      </c>
      <c r="D50">
        <f t="shared" si="1"/>
        <v>1665661.2754927946</v>
      </c>
    </row>
    <row r="51" spans="1:4" x14ac:dyDescent="0.3">
      <c r="A51" t="s">
        <v>96</v>
      </c>
      <c r="B51">
        <v>849247</v>
      </c>
      <c r="C51">
        <v>1055723</v>
      </c>
      <c r="D51">
        <f t="shared" si="1"/>
        <v>1668648.5607748851</v>
      </c>
    </row>
    <row r="52" spans="1:4" x14ac:dyDescent="0.3">
      <c r="A52" t="s">
        <v>97</v>
      </c>
      <c r="B52">
        <v>945121</v>
      </c>
      <c r="C52">
        <v>1138740</v>
      </c>
      <c r="D52">
        <f t="shared" si="1"/>
        <v>1799863.0910729356</v>
      </c>
    </row>
    <row r="53" spans="1:4" x14ac:dyDescent="0.3">
      <c r="A53" t="s">
        <v>98</v>
      </c>
      <c r="B53">
        <v>981427</v>
      </c>
      <c r="C53">
        <v>1168055</v>
      </c>
      <c r="D53">
        <f t="shared" si="1"/>
        <v>1846197.6244298064</v>
      </c>
    </row>
    <row r="54" spans="1:4" x14ac:dyDescent="0.3">
      <c r="A54" t="s">
        <v>99</v>
      </c>
      <c r="B54">
        <v>883492</v>
      </c>
      <c r="C54">
        <v>1106460</v>
      </c>
      <c r="D54">
        <f t="shared" si="1"/>
        <v>1748842.1551438961</v>
      </c>
    </row>
    <row r="55" spans="1:4" x14ac:dyDescent="0.3">
      <c r="A55" t="s">
        <v>100</v>
      </c>
      <c r="B55">
        <v>906559</v>
      </c>
      <c r="C55">
        <v>1129179</v>
      </c>
      <c r="D55">
        <f t="shared" si="1"/>
        <v>1784751.2209236932</v>
      </c>
    </row>
    <row r="56" spans="1:4" x14ac:dyDescent="0.3">
      <c r="A56" t="s">
        <v>101</v>
      </c>
      <c r="C56">
        <v>1232237</v>
      </c>
      <c r="D56">
        <f t="shared" ref="D56:D60" si="2">C56*$H$75</f>
        <v>1947642.0392314673</v>
      </c>
    </row>
    <row r="57" spans="1:4" x14ac:dyDescent="0.3">
      <c r="A57" t="s">
        <v>102</v>
      </c>
      <c r="C57">
        <v>1322962</v>
      </c>
      <c r="D57">
        <f t="shared" si="2"/>
        <v>2091039.6356429325</v>
      </c>
    </row>
    <row r="58" spans="1:4" x14ac:dyDescent="0.3">
      <c r="A58" t="s">
        <v>103</v>
      </c>
      <c r="C58">
        <v>1220352.47</v>
      </c>
      <c r="D58">
        <f t="shared" si="2"/>
        <v>1928857.6574570946</v>
      </c>
    </row>
    <row r="59" spans="1:4" x14ac:dyDescent="0.3">
      <c r="A59" t="s">
        <v>104</v>
      </c>
      <c r="C59">
        <v>1238484.24</v>
      </c>
      <c r="D59">
        <f t="shared" si="2"/>
        <v>1957516.265742413</v>
      </c>
    </row>
    <row r="60" spans="1:4" x14ac:dyDescent="0.3">
      <c r="A60" t="s">
        <v>105</v>
      </c>
      <c r="C60">
        <v>1363975.14</v>
      </c>
      <c r="D60">
        <f t="shared" si="2"/>
        <v>2155863.9475446898</v>
      </c>
    </row>
    <row r="61" spans="1:4" x14ac:dyDescent="0.3">
      <c r="A61" t="s">
        <v>106</v>
      </c>
      <c r="C61">
        <v>1459572.25</v>
      </c>
      <c r="D61">
        <f>C61*$H$75</f>
        <v>2306962.2754353755</v>
      </c>
    </row>
    <row r="62" spans="1:4" x14ac:dyDescent="0.3">
      <c r="A62" t="s">
        <v>107</v>
      </c>
      <c r="C62">
        <v>1321874</v>
      </c>
      <c r="D62">
        <v>2102862.8175453502</v>
      </c>
    </row>
    <row r="63" spans="1:4" x14ac:dyDescent="0.3">
      <c r="A63" t="s">
        <v>108</v>
      </c>
      <c r="C63">
        <v>1321178</v>
      </c>
      <c r="D63">
        <v>2042870.16440946</v>
      </c>
    </row>
    <row r="64" spans="1:4" x14ac:dyDescent="0.3">
      <c r="A64" t="s">
        <v>109</v>
      </c>
      <c r="C64">
        <v>1448214</v>
      </c>
      <c r="D64">
        <v>2225135.2279735501</v>
      </c>
    </row>
    <row r="65" spans="1:8" x14ac:dyDescent="0.3">
      <c r="A65" t="s">
        <v>110</v>
      </c>
      <c r="C65">
        <v>1541783.3659999999</v>
      </c>
      <c r="D65">
        <v>2365461.3993782601</v>
      </c>
    </row>
    <row r="66" spans="1:8" x14ac:dyDescent="0.3">
      <c r="A66" t="s">
        <v>111</v>
      </c>
      <c r="C66">
        <v>1374346</v>
      </c>
      <c r="D66">
        <v>2205223.4405590799</v>
      </c>
    </row>
    <row r="67" spans="1:8" x14ac:dyDescent="0.3">
      <c r="A67" t="s">
        <v>112</v>
      </c>
      <c r="C67">
        <v>1382866</v>
      </c>
      <c r="D67">
        <v>2195945.8751209299</v>
      </c>
    </row>
    <row r="68" spans="1:8" x14ac:dyDescent="0.3">
      <c r="A68" t="s">
        <v>113</v>
      </c>
      <c r="C68">
        <v>1525258</v>
      </c>
      <c r="D68">
        <v>2344767.2130017099</v>
      </c>
    </row>
    <row r="69" spans="1:8" x14ac:dyDescent="0.3">
      <c r="A69" t="s">
        <v>114</v>
      </c>
      <c r="C69">
        <v>1617379</v>
      </c>
      <c r="D69">
        <v>2467081.8672380499</v>
      </c>
    </row>
    <row r="70" spans="1:8" x14ac:dyDescent="0.3">
      <c r="A70" t="s">
        <v>115</v>
      </c>
      <c r="C70">
        <v>1432240</v>
      </c>
      <c r="D70">
        <v>2347396.3707367098</v>
      </c>
    </row>
    <row r="71" spans="1:8" x14ac:dyDescent="0.3">
      <c r="A71" t="s">
        <v>116</v>
      </c>
      <c r="C71">
        <v>1454346</v>
      </c>
      <c r="D71">
        <v>2357078.8660974</v>
      </c>
    </row>
    <row r="72" spans="1:8" x14ac:dyDescent="0.3">
      <c r="A72" t="s">
        <v>117</v>
      </c>
      <c r="C72">
        <v>1592637</v>
      </c>
      <c r="D72">
        <v>2497997.34269349</v>
      </c>
    </row>
    <row r="73" spans="1:8" x14ac:dyDescent="0.3">
      <c r="A73" t="s">
        <v>118</v>
      </c>
      <c r="C73">
        <v>1716618</v>
      </c>
      <c r="D73">
        <v>2598897.5613917401</v>
      </c>
    </row>
    <row r="74" spans="1:8" x14ac:dyDescent="0.3">
      <c r="A74" t="s">
        <v>119</v>
      </c>
      <c r="C74">
        <v>1516024.567</v>
      </c>
      <c r="D74">
        <v>2535750.5874271099</v>
      </c>
    </row>
    <row r="75" spans="1:8" x14ac:dyDescent="0.3">
      <c r="A75" t="s">
        <v>120</v>
      </c>
      <c r="C75">
        <v>1542134.449</v>
      </c>
      <c r="D75">
        <v>2562241.5838251398</v>
      </c>
      <c r="H75">
        <f>GEOMEAN(D62:D75)/GEOMEAN(C62:C75)</f>
        <v>1.5805742233283591</v>
      </c>
    </row>
    <row r="76" spans="1:8" x14ac:dyDescent="0.3">
      <c r="A76" t="s">
        <v>121</v>
      </c>
      <c r="D76">
        <v>2645947.1351727499</v>
      </c>
    </row>
    <row r="77" spans="1:8" x14ac:dyDescent="0.3">
      <c r="A77" t="s">
        <v>122</v>
      </c>
      <c r="D77">
        <v>2783733.23261791</v>
      </c>
    </row>
    <row r="78" spans="1:8" x14ac:dyDescent="0.3">
      <c r="A78" t="s">
        <v>123</v>
      </c>
      <c r="D78">
        <v>2728279</v>
      </c>
    </row>
    <row r="79" spans="1:8" x14ac:dyDescent="0.3">
      <c r="A79" t="s">
        <v>124</v>
      </c>
      <c r="D79">
        <v>2768087</v>
      </c>
    </row>
    <row r="80" spans="1:8" x14ac:dyDescent="0.3">
      <c r="A80" t="s">
        <v>125</v>
      </c>
      <c r="D80">
        <v>2836387</v>
      </c>
    </row>
    <row r="81" spans="1:4" x14ac:dyDescent="0.3">
      <c r="A81" t="s">
        <v>126</v>
      </c>
      <c r="D81">
        <v>3036738</v>
      </c>
    </row>
    <row r="82" spans="1:4" x14ac:dyDescent="0.3">
      <c r="A82" t="s">
        <v>127</v>
      </c>
      <c r="D82">
        <v>2965087.77736525</v>
      </c>
    </row>
    <row r="83" spans="1:4" x14ac:dyDescent="0.3">
      <c r="A83" t="s">
        <v>128</v>
      </c>
      <c r="D83">
        <v>3035755.82534701</v>
      </c>
    </row>
    <row r="84" spans="1:4" x14ac:dyDescent="0.3">
      <c r="A84" t="s">
        <v>129</v>
      </c>
      <c r="D84">
        <v>3079621.6131299399</v>
      </c>
    </row>
    <row r="85" spans="1:4" x14ac:dyDescent="0.3">
      <c r="A85" t="s">
        <v>130</v>
      </c>
      <c r="D85">
        <v>3227728.31188777</v>
      </c>
    </row>
    <row r="86" spans="1:4" x14ac:dyDescent="0.3">
      <c r="A86" t="s">
        <v>131</v>
      </c>
      <c r="D86">
        <v>3146336.28272358</v>
      </c>
    </row>
    <row r="87" spans="1:4" x14ac:dyDescent="0.3">
      <c r="A87" t="s">
        <v>132</v>
      </c>
      <c r="D87">
        <v>3197195.4852978298</v>
      </c>
    </row>
    <row r="88" spans="1:4" x14ac:dyDescent="0.3">
      <c r="A88" t="s">
        <v>133</v>
      </c>
      <c r="D88">
        <v>3284991.6555802599</v>
      </c>
    </row>
    <row r="89" spans="1:4" x14ac:dyDescent="0.3">
      <c r="A89" t="s">
        <v>134</v>
      </c>
      <c r="D89">
        <v>3516058.35168949</v>
      </c>
    </row>
    <row r="90" spans="1:4" x14ac:dyDescent="0.3">
      <c r="A90" t="s">
        <v>135</v>
      </c>
      <c r="D90">
        <v>3382300.8262527199</v>
      </c>
    </row>
    <row r="91" spans="1:4" x14ac:dyDescent="0.3">
      <c r="A91" t="s">
        <v>136</v>
      </c>
      <c r="D91">
        <v>3403644.1903298399</v>
      </c>
    </row>
    <row r="92" spans="1:4" x14ac:dyDescent="0.3">
      <c r="A92" t="s">
        <v>137</v>
      </c>
      <c r="D92">
        <v>3489760.8891947102</v>
      </c>
    </row>
    <row r="93" spans="1:4" x14ac:dyDescent="0.3">
      <c r="A93" t="s">
        <v>138</v>
      </c>
      <c r="D93">
        <v>3717210.0382428002</v>
      </c>
    </row>
    <row r="94" spans="1:4" x14ac:dyDescent="0.3">
      <c r="A94" t="s">
        <v>139</v>
      </c>
      <c r="D94">
        <v>3554641.5094634402</v>
      </c>
    </row>
    <row r="95" spans="1:4" x14ac:dyDescent="0.3">
      <c r="A95" t="s">
        <v>140</v>
      </c>
      <c r="D95">
        <v>3549945.45361298</v>
      </c>
    </row>
    <row r="96" spans="1:4" x14ac:dyDescent="0.3">
      <c r="A96" t="s">
        <v>141</v>
      </c>
      <c r="D96">
        <v>3603375.0476866299</v>
      </c>
    </row>
    <row r="97" spans="1:4" x14ac:dyDescent="0.3">
      <c r="A97" t="s">
        <v>142</v>
      </c>
      <c r="D97">
        <v>3826678.6421807199</v>
      </c>
    </row>
    <row r="98" spans="1:4" x14ac:dyDescent="0.3">
      <c r="A98" t="s">
        <v>143</v>
      </c>
      <c r="D98">
        <v>2732306.1624803399</v>
      </c>
    </row>
    <row r="99" spans="1:4" x14ac:dyDescent="0.3">
      <c r="A99" t="s">
        <v>144</v>
      </c>
      <c r="D99">
        <v>3342656.4132057</v>
      </c>
    </row>
    <row r="100" spans="1:4" x14ac:dyDescent="0.3">
      <c r="A100" t="s">
        <v>145</v>
      </c>
      <c r="D100">
        <v>3667337.9177076598</v>
      </c>
    </row>
    <row r="101" spans="1:4" x14ac:dyDescent="0.3">
      <c r="A101" t="s">
        <v>146</v>
      </c>
      <c r="D101">
        <v>3952568.4405267602</v>
      </c>
    </row>
    <row r="102" spans="1:4" x14ac:dyDescent="0.3">
      <c r="A102" t="s">
        <v>147</v>
      </c>
      <c r="D102">
        <v>3350730.1257925699</v>
      </c>
    </row>
    <row r="103" spans="1:4" x14ac:dyDescent="0.3">
      <c r="A103" t="s">
        <v>148</v>
      </c>
      <c r="D103">
        <v>3672438.1378288199</v>
      </c>
    </row>
    <row r="104" spans="1:4" x14ac:dyDescent="0.3">
      <c r="A104" t="s">
        <v>149</v>
      </c>
      <c r="D104">
        <v>3870107.78086635</v>
      </c>
    </row>
    <row r="105" spans="1:4" x14ac:dyDescent="0.3">
      <c r="A105" t="s">
        <v>150</v>
      </c>
      <c r="D105">
        <v>4128570.2090689298</v>
      </c>
    </row>
    <row r="106" spans="1:4" x14ac:dyDescent="0.3">
      <c r="A106" t="s">
        <v>151</v>
      </c>
      <c r="D106">
        <v>3802769.07124162</v>
      </c>
    </row>
    <row r="107" spans="1:4" x14ac:dyDescent="0.3">
      <c r="A107" t="s">
        <v>152</v>
      </c>
      <c r="D107">
        <v>3891250.7250851998</v>
      </c>
    </row>
    <row r="108" spans="1:4" x14ac:dyDescent="0.3">
      <c r="A108" t="s">
        <v>153</v>
      </c>
      <c r="D108">
        <v>4057577.78318612</v>
      </c>
    </row>
    <row r="109" spans="1:4" x14ac:dyDescent="0.3">
      <c r="A109" t="s">
        <v>154</v>
      </c>
      <c r="D109">
        <v>4413315.7960118996</v>
      </c>
    </row>
    <row r="110" spans="1:4" x14ac:dyDescent="0.3">
      <c r="A110" t="s">
        <v>155</v>
      </c>
      <c r="D110">
        <v>4170114.4435351598</v>
      </c>
    </row>
    <row r="111" spans="1:4" x14ac:dyDescent="0.3">
      <c r="A111" t="s">
        <v>156</v>
      </c>
      <c r="D111">
        <v>4254805.79356224</v>
      </c>
    </row>
    <row r="112" spans="1:4" x14ac:dyDescent="0.3">
      <c r="A112" t="s">
        <v>157</v>
      </c>
      <c r="D112">
        <v>4443638.2426613001</v>
      </c>
    </row>
    <row r="113" spans="1:4" x14ac:dyDescent="0.3">
      <c r="A113" t="s">
        <v>158</v>
      </c>
      <c r="D113">
        <v>4782032.4684796799</v>
      </c>
    </row>
    <row r="114" spans="1:4" x14ac:dyDescent="0.3">
      <c r="A114" t="s">
        <v>159</v>
      </c>
      <c r="D114">
        <v>4441663.94615502</v>
      </c>
    </row>
    <row r="115" spans="1:4" x14ac:dyDescent="0.3">
      <c r="A115" t="s">
        <v>160</v>
      </c>
      <c r="D115">
        <v>4493586.5598837798</v>
      </c>
    </row>
    <row r="116" spans="1:4" x14ac:dyDescent="0.3">
      <c r="A116" t="s">
        <v>161</v>
      </c>
      <c r="D116">
        <v>4726541.8298279596</v>
      </c>
    </row>
    <row r="117" spans="1:4" x14ac:dyDescent="0.3">
      <c r="A117" t="s">
        <v>162</v>
      </c>
      <c r="D117">
        <v>5135163.1080317898</v>
      </c>
    </row>
    <row r="118" spans="1:4" x14ac:dyDescent="0.3">
      <c r="A118" t="s">
        <v>163</v>
      </c>
      <c r="D118">
        <v>4788623.3614072502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F1FD-0B94-499F-BB50-1A0001161DA3}">
  <dimension ref="A1:D118"/>
  <sheetViews>
    <sheetView tabSelected="1" workbookViewId="0"/>
  </sheetViews>
  <sheetFormatPr defaultRowHeight="14.4" x14ac:dyDescent="0.3"/>
  <sheetData>
    <row r="1" spans="1:4" x14ac:dyDescent="0.3">
      <c r="A1" t="s">
        <v>1</v>
      </c>
      <c r="B1" t="s">
        <v>202</v>
      </c>
      <c r="C1" t="s">
        <v>203</v>
      </c>
      <c r="D1" t="s">
        <v>204</v>
      </c>
    </row>
    <row r="2" spans="1:4" x14ac:dyDescent="0.3">
      <c r="A2" t="s">
        <v>164</v>
      </c>
      <c r="B2">
        <v>762903.21940697567</v>
      </c>
      <c r="C2">
        <f>LOG10(B2)</f>
        <v>5.8824694475965567</v>
      </c>
      <c r="D2">
        <v>5.8998460000000001</v>
      </c>
    </row>
    <row r="3" spans="1:4" x14ac:dyDescent="0.3">
      <c r="A3" t="s">
        <v>165</v>
      </c>
      <c r="B3">
        <v>703428.56771075458</v>
      </c>
      <c r="C3">
        <f t="shared" ref="C3:C66" si="0">LOG10(B3)</f>
        <v>5.8472200019496539</v>
      </c>
      <c r="D3">
        <v>5.893421</v>
      </c>
    </row>
    <row r="4" spans="1:4" x14ac:dyDescent="0.3">
      <c r="A4" t="s">
        <v>166</v>
      </c>
      <c r="B4">
        <v>875699.63402104459</v>
      </c>
      <c r="C4">
        <f t="shared" si="0"/>
        <v>5.9423551682041094</v>
      </c>
      <c r="D4">
        <v>5.9122250000000003</v>
      </c>
    </row>
    <row r="5" spans="1:4" x14ac:dyDescent="0.3">
      <c r="A5" t="s">
        <v>167</v>
      </c>
      <c r="B5">
        <v>888645.64194541017</v>
      </c>
      <c r="C5">
        <f t="shared" si="0"/>
        <v>5.9487286153824392</v>
      </c>
      <c r="D5">
        <v>5.915375</v>
      </c>
    </row>
    <row r="6" spans="1:4" x14ac:dyDescent="0.3">
      <c r="A6" t="s">
        <v>168</v>
      </c>
      <c r="B6">
        <v>787777.93669611635</v>
      </c>
      <c r="C6">
        <f t="shared" si="0"/>
        <v>5.8964038133539187</v>
      </c>
      <c r="D6">
        <v>5.9136610000000003</v>
      </c>
    </row>
    <row r="7" spans="1:4" x14ac:dyDescent="0.3">
      <c r="A7" t="s">
        <v>169</v>
      </c>
      <c r="B7">
        <v>737476.64710770955</v>
      </c>
      <c r="C7">
        <f t="shared" si="0"/>
        <v>5.8677482725243229</v>
      </c>
      <c r="D7">
        <v>5.9133300000000002</v>
      </c>
    </row>
    <row r="8" spans="1:4" x14ac:dyDescent="0.3">
      <c r="A8" t="s">
        <v>170</v>
      </c>
      <c r="B8">
        <v>906623.15355639975</v>
      </c>
      <c r="C8">
        <f t="shared" si="0"/>
        <v>5.9574268059794306</v>
      </c>
      <c r="D8">
        <v>5.9276679999999997</v>
      </c>
    </row>
    <row r="9" spans="1:4" x14ac:dyDescent="0.3">
      <c r="A9" t="s">
        <v>171</v>
      </c>
      <c r="B9">
        <v>929789.28060066816</v>
      </c>
      <c r="C9">
        <f t="shared" si="0"/>
        <v>5.9683845349608404</v>
      </c>
      <c r="D9">
        <v>5.9359390000000003</v>
      </c>
    </row>
    <row r="10" spans="1:4" x14ac:dyDescent="0.3">
      <c r="A10" t="s">
        <v>172</v>
      </c>
      <c r="B10">
        <v>837678.59133055317</v>
      </c>
      <c r="C10">
        <f t="shared" si="0"/>
        <v>5.9230774162591411</v>
      </c>
      <c r="D10">
        <v>5.9401260000000002</v>
      </c>
    </row>
    <row r="11" spans="1:4" x14ac:dyDescent="0.3">
      <c r="A11" t="s">
        <v>173</v>
      </c>
      <c r="B11">
        <v>795067.9217409048</v>
      </c>
      <c r="C11">
        <f t="shared" si="0"/>
        <v>5.900404231520934</v>
      </c>
      <c r="D11">
        <v>5.9442760000000003</v>
      </c>
    </row>
    <row r="12" spans="1:4" x14ac:dyDescent="0.3">
      <c r="A12" t="s">
        <v>174</v>
      </c>
      <c r="B12">
        <v>956519.8803971702</v>
      </c>
      <c r="C12">
        <f t="shared" si="0"/>
        <v>5.9806940008735747</v>
      </c>
      <c r="D12">
        <v>5.9516970000000002</v>
      </c>
    </row>
    <row r="13" spans="1:4" x14ac:dyDescent="0.3">
      <c r="A13" t="s">
        <v>175</v>
      </c>
      <c r="B13">
        <v>980611.00284986943</v>
      </c>
      <c r="C13">
        <f t="shared" si="0"/>
        <v>5.9914967618962649</v>
      </c>
      <c r="D13">
        <v>5.9608949999999998</v>
      </c>
    </row>
    <row r="14" spans="1:4" x14ac:dyDescent="0.3">
      <c r="A14" t="s">
        <v>176</v>
      </c>
      <c r="B14">
        <v>902714.99885835859</v>
      </c>
      <c r="C14">
        <f t="shared" si="0"/>
        <v>5.9555506584421343</v>
      </c>
      <c r="D14">
        <v>5.9720969999999998</v>
      </c>
    </row>
    <row r="15" spans="1:4" x14ac:dyDescent="0.3">
      <c r="A15" t="s">
        <v>177</v>
      </c>
      <c r="B15">
        <v>857820.3172517143</v>
      </c>
      <c r="C15">
        <f t="shared" si="0"/>
        <v>5.9333963281770261</v>
      </c>
      <c r="D15">
        <v>5.9748380000000001</v>
      </c>
    </row>
    <row r="16" spans="1:4" x14ac:dyDescent="0.3">
      <c r="A16" t="s">
        <v>178</v>
      </c>
      <c r="B16">
        <v>1021285.2701619959</v>
      </c>
      <c r="C16">
        <f t="shared" si="0"/>
        <v>6.0091470681913703</v>
      </c>
      <c r="D16">
        <v>5.9809450000000002</v>
      </c>
    </row>
    <row r="17" spans="1:4" x14ac:dyDescent="0.3">
      <c r="A17" t="s">
        <v>179</v>
      </c>
      <c r="B17">
        <v>1051772.8046003836</v>
      </c>
      <c r="C17">
        <f t="shared" si="0"/>
        <v>6.0219219371898554</v>
      </c>
      <c r="D17">
        <v>5.9935799999999997</v>
      </c>
    </row>
    <row r="18" spans="1:4" x14ac:dyDescent="0.3">
      <c r="A18" t="s">
        <v>180</v>
      </c>
      <c r="B18">
        <v>950025.27356982231</v>
      </c>
      <c r="C18">
        <f t="shared" si="0"/>
        <v>5.9777351590003329</v>
      </c>
      <c r="D18">
        <v>5.9941389999999997</v>
      </c>
    </row>
    <row r="19" spans="1:4" x14ac:dyDescent="0.3">
      <c r="A19" t="s">
        <v>181</v>
      </c>
      <c r="B19">
        <v>914743.8669616261</v>
      </c>
      <c r="C19">
        <f t="shared" si="0"/>
        <v>5.9612995063754779</v>
      </c>
      <c r="D19">
        <v>5.9995409999999998</v>
      </c>
    </row>
    <row r="20" spans="1:4" x14ac:dyDescent="0.3">
      <c r="A20" t="s">
        <v>182</v>
      </c>
      <c r="B20">
        <v>1060074.1965142633</v>
      </c>
      <c r="C20">
        <f t="shared" si="0"/>
        <v>6.0253362633864844</v>
      </c>
      <c r="D20">
        <v>5.998005</v>
      </c>
    </row>
    <row r="21" spans="1:4" x14ac:dyDescent="0.3">
      <c r="A21" t="s">
        <v>183</v>
      </c>
      <c r="B21">
        <v>1063261.6010745249</v>
      </c>
      <c r="C21">
        <f t="shared" si="0"/>
        <v>6.0266401299284214</v>
      </c>
      <c r="D21">
        <v>6.0008869999999996</v>
      </c>
    </row>
    <row r="22" spans="1:4" x14ac:dyDescent="0.3">
      <c r="A22" t="s">
        <v>184</v>
      </c>
      <c r="B22">
        <v>986486.98217476357</v>
      </c>
      <c r="C22">
        <f t="shared" si="0"/>
        <v>5.9940913586130771</v>
      </c>
      <c r="D22">
        <v>6.0102760000000002</v>
      </c>
    </row>
    <row r="23" spans="1:4" x14ac:dyDescent="0.3">
      <c r="A23" t="s">
        <v>185</v>
      </c>
      <c r="B23">
        <v>954591.33370698104</v>
      </c>
      <c r="C23">
        <f t="shared" si="0"/>
        <v>5.9798174872894743</v>
      </c>
      <c r="D23">
        <v>6.0150769999999998</v>
      </c>
    </row>
    <row r="24" spans="1:4" x14ac:dyDescent="0.3">
      <c r="A24" t="s">
        <v>186</v>
      </c>
      <c r="B24">
        <v>1126764.2051756117</v>
      </c>
      <c r="C24">
        <f t="shared" si="0"/>
        <v>6.0518330419509088</v>
      </c>
      <c r="D24">
        <v>6.0253829999999997</v>
      </c>
    </row>
    <row r="25" spans="1:4" x14ac:dyDescent="0.3">
      <c r="A25" t="s">
        <v>187</v>
      </c>
      <c r="B25">
        <v>1128317.6475706622</v>
      </c>
      <c r="C25">
        <f t="shared" si="0"/>
        <v>6.0524313808236361</v>
      </c>
      <c r="D25">
        <v>6.0282859999999996</v>
      </c>
    </row>
    <row r="26" spans="1:4" x14ac:dyDescent="0.3">
      <c r="A26" t="s">
        <v>188</v>
      </c>
      <c r="B26">
        <v>1036497.6150318588</v>
      </c>
      <c r="C26">
        <f t="shared" si="0"/>
        <v>6.0155683071248198</v>
      </c>
      <c r="D26">
        <v>6.032432</v>
      </c>
    </row>
    <row r="27" spans="1:4" x14ac:dyDescent="0.3">
      <c r="A27" t="s">
        <v>189</v>
      </c>
      <c r="B27">
        <v>1005605.5178458345</v>
      </c>
      <c r="C27">
        <f t="shared" si="0"/>
        <v>6.0024276476964209</v>
      </c>
      <c r="D27">
        <v>6.0341170000000002</v>
      </c>
    </row>
    <row r="28" spans="1:4" x14ac:dyDescent="0.3">
      <c r="A28" t="s">
        <v>190</v>
      </c>
      <c r="B28">
        <v>1148987.6617399505</v>
      </c>
      <c r="C28">
        <f t="shared" si="0"/>
        <v>6.0603153650964439</v>
      </c>
      <c r="D28">
        <v>6.0358619999999998</v>
      </c>
    </row>
    <row r="29" spans="1:4" x14ac:dyDescent="0.3">
      <c r="A29" t="s">
        <v>191</v>
      </c>
      <c r="B29">
        <v>1163137.5384230595</v>
      </c>
      <c r="C29">
        <f t="shared" si="0"/>
        <v>6.0656310721200617</v>
      </c>
      <c r="D29">
        <v>6.042116</v>
      </c>
    </row>
    <row r="30" spans="1:4" x14ac:dyDescent="0.3">
      <c r="A30" t="s">
        <v>192</v>
      </c>
      <c r="B30">
        <v>1087319.3372810599</v>
      </c>
      <c r="C30">
        <f t="shared" si="0"/>
        <v>6.0363571117509425</v>
      </c>
      <c r="D30">
        <v>6.053833</v>
      </c>
    </row>
    <row r="31" spans="1:4" x14ac:dyDescent="0.3">
      <c r="A31" t="s">
        <v>193</v>
      </c>
      <c r="B31">
        <v>1087060.1028990794</v>
      </c>
      <c r="C31">
        <f t="shared" si="0"/>
        <v>6.0362535566307391</v>
      </c>
      <c r="D31">
        <v>6.065035</v>
      </c>
    </row>
    <row r="32" spans="1:4" x14ac:dyDescent="0.3">
      <c r="A32" t="s">
        <v>194</v>
      </c>
      <c r="B32">
        <v>1277848.7524494852</v>
      </c>
      <c r="C32">
        <f t="shared" si="0"/>
        <v>6.1064794533030007</v>
      </c>
      <c r="D32">
        <v>6.0843939999999996</v>
      </c>
    </row>
    <row r="33" spans="1:4" x14ac:dyDescent="0.3">
      <c r="A33" t="s">
        <v>195</v>
      </c>
      <c r="B33">
        <v>1266485.645372668</v>
      </c>
      <c r="C33">
        <f t="shared" si="0"/>
        <v>6.1026002717651222</v>
      </c>
      <c r="D33">
        <v>6.078176</v>
      </c>
    </row>
    <row r="34" spans="1:4" x14ac:dyDescent="0.3">
      <c r="A34" t="s">
        <v>196</v>
      </c>
      <c r="B34">
        <v>1185498.6321878724</v>
      </c>
      <c r="C34">
        <f t="shared" si="0"/>
        <v>6.0739010572314553</v>
      </c>
      <c r="D34">
        <v>6.0927090000000002</v>
      </c>
    </row>
    <row r="35" spans="1:4" x14ac:dyDescent="0.3">
      <c r="A35" t="s">
        <v>197</v>
      </c>
      <c r="B35">
        <v>1198204.8683692091</v>
      </c>
      <c r="C35">
        <f t="shared" si="0"/>
        <v>6.0785310798191832</v>
      </c>
      <c r="D35">
        <v>6.104527</v>
      </c>
    </row>
    <row r="36" spans="1:4" x14ac:dyDescent="0.3">
      <c r="A36" t="s">
        <v>198</v>
      </c>
      <c r="B36">
        <v>1344099.7720535332</v>
      </c>
      <c r="C36">
        <f t="shared" si="0"/>
        <v>6.1284315074410625</v>
      </c>
      <c r="D36">
        <v>6.1091990000000003</v>
      </c>
    </row>
    <row r="37" spans="1:4" x14ac:dyDescent="0.3">
      <c r="A37" t="s">
        <v>199</v>
      </c>
      <c r="B37">
        <v>1396748.699432601</v>
      </c>
      <c r="C37">
        <f t="shared" si="0"/>
        <v>6.145118275643795</v>
      </c>
      <c r="D37">
        <v>6.1192219999999997</v>
      </c>
    </row>
    <row r="38" spans="1:4" x14ac:dyDescent="0.3">
      <c r="A38" t="s">
        <v>83</v>
      </c>
      <c r="B38">
        <v>1294847.4986803983</v>
      </c>
      <c r="C38">
        <f t="shared" si="0"/>
        <v>6.1122186221766555</v>
      </c>
      <c r="D38">
        <v>6.1318010000000003</v>
      </c>
    </row>
    <row r="39" spans="1:4" x14ac:dyDescent="0.3">
      <c r="A39" t="s">
        <v>84</v>
      </c>
      <c r="B39">
        <v>1299377.4244044574</v>
      </c>
      <c r="C39">
        <f t="shared" si="0"/>
        <v>6.1137353169916544</v>
      </c>
      <c r="D39">
        <v>6.1384319999999999</v>
      </c>
    </row>
    <row r="40" spans="1:4" x14ac:dyDescent="0.3">
      <c r="A40" t="s">
        <v>85</v>
      </c>
      <c r="B40">
        <v>1464711.8104614969</v>
      </c>
      <c r="C40">
        <f t="shared" si="0"/>
        <v>6.165752183435278</v>
      </c>
      <c r="D40">
        <v>6.148231</v>
      </c>
    </row>
    <row r="41" spans="1:4" x14ac:dyDescent="0.3">
      <c r="A41" t="s">
        <v>86</v>
      </c>
      <c r="B41">
        <v>1541423.3998165156</v>
      </c>
      <c r="C41">
        <f t="shared" si="0"/>
        <v>6.1879219475746385</v>
      </c>
      <c r="D41">
        <v>6.1607479999999999</v>
      </c>
    </row>
    <row r="42" spans="1:4" x14ac:dyDescent="0.3">
      <c r="A42" t="s">
        <v>87</v>
      </c>
      <c r="B42">
        <v>1390744.0979581764</v>
      </c>
      <c r="C42">
        <f t="shared" si="0"/>
        <v>6.1432472255572232</v>
      </c>
      <c r="D42">
        <v>6.163659</v>
      </c>
    </row>
    <row r="43" spans="1:4" x14ac:dyDescent="0.3">
      <c r="A43" t="s">
        <v>88</v>
      </c>
      <c r="B43">
        <v>1432419.0985046753</v>
      </c>
      <c r="C43">
        <f t="shared" si="0"/>
        <v>6.1560701028452396</v>
      </c>
      <c r="D43">
        <v>6.1794830000000003</v>
      </c>
    </row>
    <row r="44" spans="1:4" x14ac:dyDescent="0.3">
      <c r="A44" t="s">
        <v>89</v>
      </c>
      <c r="B44">
        <v>1603530.4833479801</v>
      </c>
      <c r="C44">
        <f t="shared" si="0"/>
        <v>6.2050772203442728</v>
      </c>
      <c r="D44">
        <v>6.1888059999999996</v>
      </c>
    </row>
    <row r="45" spans="1:4" x14ac:dyDescent="0.3">
      <c r="A45" t="s">
        <v>90</v>
      </c>
      <c r="B45">
        <v>1692482.0394884537</v>
      </c>
      <c r="C45">
        <f t="shared" si="0"/>
        <v>6.2285240686762693</v>
      </c>
      <c r="D45">
        <v>6.2013720000000001</v>
      </c>
    </row>
    <row r="46" spans="1:4" x14ac:dyDescent="0.3">
      <c r="A46" t="s">
        <v>91</v>
      </c>
      <c r="B46">
        <v>1541078.83463583</v>
      </c>
      <c r="C46">
        <f t="shared" si="0"/>
        <v>6.1878248558317175</v>
      </c>
      <c r="D46">
        <v>6.2078259999999998</v>
      </c>
    </row>
    <row r="47" spans="1:4" x14ac:dyDescent="0.3">
      <c r="A47" t="s">
        <v>92</v>
      </c>
      <c r="B47">
        <v>1563349.1254425265</v>
      </c>
      <c r="C47">
        <f t="shared" si="0"/>
        <v>6.1940559750260649</v>
      </c>
      <c r="D47">
        <v>6.2165429999999997</v>
      </c>
    </row>
    <row r="48" spans="1:4" x14ac:dyDescent="0.3">
      <c r="A48" t="s">
        <v>93</v>
      </c>
      <c r="B48">
        <v>1772658.2475410078</v>
      </c>
      <c r="C48">
        <f t="shared" si="0"/>
        <v>6.2486250156272405</v>
      </c>
      <c r="D48">
        <v>6.2335510000000003</v>
      </c>
    </row>
    <row r="49" spans="1:4" x14ac:dyDescent="0.3">
      <c r="A49" t="s">
        <v>94</v>
      </c>
      <c r="B49">
        <v>1841852.6258898769</v>
      </c>
      <c r="C49">
        <f t="shared" si="0"/>
        <v>6.265254877585404</v>
      </c>
      <c r="D49">
        <v>6.2386790000000003</v>
      </c>
    </row>
    <row r="50" spans="1:4" x14ac:dyDescent="0.3">
      <c r="A50" t="s">
        <v>95</v>
      </c>
      <c r="B50">
        <v>1665661.2754927946</v>
      </c>
      <c r="C50">
        <f t="shared" si="0"/>
        <v>6.2215866890630167</v>
      </c>
      <c r="D50">
        <v>6.2406610000000002</v>
      </c>
    </row>
    <row r="51" spans="1:4" x14ac:dyDescent="0.3">
      <c r="A51" t="s">
        <v>96</v>
      </c>
      <c r="B51">
        <v>1668648.5607748851</v>
      </c>
      <c r="C51">
        <f t="shared" si="0"/>
        <v>6.222364878208424</v>
      </c>
      <c r="D51">
        <v>6.2433370000000004</v>
      </c>
    </row>
    <row r="52" spans="1:4" x14ac:dyDescent="0.3">
      <c r="A52" t="s">
        <v>97</v>
      </c>
      <c r="B52">
        <v>1799863.0910729356</v>
      </c>
      <c r="C52">
        <f t="shared" si="0"/>
        <v>6.255239471185031</v>
      </c>
      <c r="D52">
        <v>6.2424499999999998</v>
      </c>
    </row>
    <row r="53" spans="1:4" x14ac:dyDescent="0.3">
      <c r="A53" t="s">
        <v>98</v>
      </c>
      <c r="B53">
        <v>1846197.6244298064</v>
      </c>
      <c r="C53">
        <f t="shared" si="0"/>
        <v>6.2662781878088234</v>
      </c>
      <c r="D53">
        <v>6.2403719999999998</v>
      </c>
    </row>
    <row r="54" spans="1:4" x14ac:dyDescent="0.3">
      <c r="A54" t="s">
        <v>99</v>
      </c>
      <c r="B54">
        <v>1748842.1551438961</v>
      </c>
      <c r="C54">
        <f t="shared" si="0"/>
        <v>6.2427506132273827</v>
      </c>
      <c r="D54">
        <v>6.259938</v>
      </c>
    </row>
    <row r="55" spans="1:4" x14ac:dyDescent="0.3">
      <c r="A55" t="s">
        <v>100</v>
      </c>
      <c r="B55">
        <v>1784751.2209236932</v>
      </c>
      <c r="C55">
        <f t="shared" si="0"/>
        <v>6.2515776877255984</v>
      </c>
      <c r="D55">
        <v>6.2716719999999997</v>
      </c>
    </row>
    <row r="56" spans="1:4" x14ac:dyDescent="0.3">
      <c r="A56" t="s">
        <v>101</v>
      </c>
      <c r="B56">
        <v>1947642.0392314673</v>
      </c>
      <c r="C56">
        <f t="shared" si="0"/>
        <v>6.2895091400827337</v>
      </c>
      <c r="D56">
        <v>6.2793469999999996</v>
      </c>
    </row>
    <row r="57" spans="1:4" x14ac:dyDescent="0.3">
      <c r="A57" t="s">
        <v>102</v>
      </c>
      <c r="B57">
        <v>2091039.6356429325</v>
      </c>
      <c r="C57">
        <f t="shared" si="0"/>
        <v>6.3203622649448219</v>
      </c>
      <c r="D57">
        <v>6.29413</v>
      </c>
    </row>
    <row r="58" spans="1:4" x14ac:dyDescent="0.3">
      <c r="A58" t="s">
        <v>103</v>
      </c>
      <c r="B58">
        <v>1928857.6574570946</v>
      </c>
      <c r="C58">
        <f t="shared" si="0"/>
        <v>6.2853001795039889</v>
      </c>
      <c r="D58">
        <v>6.3009389999999996</v>
      </c>
    </row>
    <row r="59" spans="1:4" x14ac:dyDescent="0.3">
      <c r="A59" t="s">
        <v>104</v>
      </c>
      <c r="B59">
        <v>1957516.265742413</v>
      </c>
      <c r="C59">
        <f t="shared" si="0"/>
        <v>6.2917053794619475</v>
      </c>
      <c r="D59">
        <v>6.3111280000000001</v>
      </c>
    </row>
    <row r="60" spans="1:4" x14ac:dyDescent="0.3">
      <c r="A60" t="s">
        <v>105</v>
      </c>
      <c r="B60">
        <v>2155863.9475446898</v>
      </c>
      <c r="C60">
        <f t="shared" si="0"/>
        <v>6.3336213498843765</v>
      </c>
      <c r="D60">
        <v>6.325526</v>
      </c>
    </row>
    <row r="61" spans="1:4" x14ac:dyDescent="0.3">
      <c r="A61" t="s">
        <v>106</v>
      </c>
      <c r="B61">
        <v>2306962.2754353755</v>
      </c>
      <c r="C61">
        <f t="shared" si="0"/>
        <v>6.3630404927854176</v>
      </c>
      <c r="D61">
        <v>6.3374170000000003</v>
      </c>
    </row>
    <row r="62" spans="1:4" x14ac:dyDescent="0.3">
      <c r="A62" t="s">
        <v>107</v>
      </c>
      <c r="B62">
        <v>2102862.8175453502</v>
      </c>
      <c r="C62">
        <f t="shared" si="0"/>
        <v>6.3228109419557796</v>
      </c>
      <c r="D62">
        <v>6.3365109999999998</v>
      </c>
    </row>
    <row r="63" spans="1:4" x14ac:dyDescent="0.3">
      <c r="A63" t="s">
        <v>108</v>
      </c>
      <c r="B63">
        <v>2042870.16440946</v>
      </c>
      <c r="C63">
        <f t="shared" si="0"/>
        <v>6.3102407657159834</v>
      </c>
      <c r="D63">
        <v>6.3287040000000001</v>
      </c>
    </row>
    <row r="64" spans="1:4" x14ac:dyDescent="0.3">
      <c r="A64" t="s">
        <v>109</v>
      </c>
      <c r="B64">
        <v>2225135.2279735501</v>
      </c>
      <c r="C64">
        <f t="shared" si="0"/>
        <v>6.3473564094644184</v>
      </c>
      <c r="D64">
        <v>6.340732</v>
      </c>
    </row>
    <row r="65" spans="1:4" x14ac:dyDescent="0.3">
      <c r="A65" t="s">
        <v>110</v>
      </c>
      <c r="B65">
        <v>2365461.3993782601</v>
      </c>
      <c r="C65">
        <f t="shared" si="0"/>
        <v>6.3739158654372998</v>
      </c>
      <c r="D65">
        <v>6.3504620000000003</v>
      </c>
    </row>
    <row r="66" spans="1:4" x14ac:dyDescent="0.3">
      <c r="A66" t="s">
        <v>111</v>
      </c>
      <c r="B66">
        <v>2205223.4405590799</v>
      </c>
      <c r="C66">
        <f t="shared" si="0"/>
        <v>6.3434526001918474</v>
      </c>
      <c r="D66">
        <v>6.3550750000000003</v>
      </c>
    </row>
    <row r="67" spans="1:4" x14ac:dyDescent="0.3">
      <c r="A67" t="s">
        <v>112</v>
      </c>
      <c r="B67">
        <v>2195945.8751209299</v>
      </c>
      <c r="C67">
        <f t="shared" ref="C67:C118" si="1">LOG10(B67)</f>
        <v>6.341621631576781</v>
      </c>
      <c r="D67">
        <v>6.3579790000000003</v>
      </c>
    </row>
    <row r="68" spans="1:4" x14ac:dyDescent="0.3">
      <c r="A68" t="s">
        <v>113</v>
      </c>
      <c r="B68">
        <v>2344767.2130017099</v>
      </c>
      <c r="C68">
        <f t="shared" si="1"/>
        <v>6.370099732711175</v>
      </c>
      <c r="D68">
        <v>6.3648550000000004</v>
      </c>
    </row>
    <row r="69" spans="1:4" x14ac:dyDescent="0.3">
      <c r="A69" t="s">
        <v>114</v>
      </c>
      <c r="B69">
        <v>2467081.8672380499</v>
      </c>
      <c r="C69">
        <f t="shared" si="1"/>
        <v>6.3921835612853624</v>
      </c>
      <c r="D69">
        <v>6.3722640000000004</v>
      </c>
    </row>
    <row r="70" spans="1:4" x14ac:dyDescent="0.3">
      <c r="A70" t="s">
        <v>115</v>
      </c>
      <c r="B70">
        <v>2347396.3707367098</v>
      </c>
      <c r="C70">
        <f t="shared" si="1"/>
        <v>6.3705864287930511</v>
      </c>
      <c r="D70">
        <v>6.3798310000000003</v>
      </c>
    </row>
    <row r="71" spans="1:4" x14ac:dyDescent="0.3">
      <c r="A71" t="s">
        <v>116</v>
      </c>
      <c r="B71">
        <v>2357078.8660974</v>
      </c>
      <c r="C71">
        <f t="shared" si="1"/>
        <v>6.3723741139362433</v>
      </c>
      <c r="D71">
        <v>6.3855930000000001</v>
      </c>
    </row>
    <row r="72" spans="1:4" x14ac:dyDescent="0.3">
      <c r="A72" t="s">
        <v>117</v>
      </c>
      <c r="B72">
        <v>2497997.34269349</v>
      </c>
      <c r="C72">
        <f t="shared" si="1"/>
        <v>6.3975919720468566</v>
      </c>
      <c r="D72">
        <v>6.3945360000000004</v>
      </c>
    </row>
    <row r="73" spans="1:4" x14ac:dyDescent="0.3">
      <c r="A73" t="s">
        <v>118</v>
      </c>
      <c r="B73">
        <v>2598897.5613917401</v>
      </c>
      <c r="C73">
        <f t="shared" si="1"/>
        <v>6.414789161609872</v>
      </c>
      <c r="D73">
        <v>6.3979400000000002</v>
      </c>
    </row>
    <row r="74" spans="1:4" x14ac:dyDescent="0.3">
      <c r="A74" t="s">
        <v>119</v>
      </c>
      <c r="B74">
        <v>2535750.5874271099</v>
      </c>
      <c r="C74">
        <f t="shared" si="1"/>
        <v>6.4041065347653063</v>
      </c>
      <c r="D74">
        <v>6.4115140000000004</v>
      </c>
    </row>
    <row r="75" spans="1:4" x14ac:dyDescent="0.3">
      <c r="A75" t="s">
        <v>120</v>
      </c>
      <c r="B75">
        <v>2562241.5838251398</v>
      </c>
      <c r="C75">
        <f t="shared" si="1"/>
        <v>6.4086200752821414</v>
      </c>
      <c r="D75">
        <v>6.4184080000000003</v>
      </c>
    </row>
    <row r="76" spans="1:4" x14ac:dyDescent="0.3">
      <c r="A76" t="s">
        <v>121</v>
      </c>
      <c r="B76">
        <v>2645947.1351727499</v>
      </c>
      <c r="C76">
        <f t="shared" si="1"/>
        <v>6.4225811629308041</v>
      </c>
      <c r="D76">
        <v>6.4221490000000001</v>
      </c>
    </row>
    <row r="77" spans="1:4" x14ac:dyDescent="0.3">
      <c r="A77" t="s">
        <v>122</v>
      </c>
      <c r="B77">
        <v>2783733.23261791</v>
      </c>
      <c r="C77">
        <f t="shared" si="1"/>
        <v>6.4446276141450314</v>
      </c>
      <c r="D77">
        <v>6.4296860000000002</v>
      </c>
    </row>
    <row r="78" spans="1:4" x14ac:dyDescent="0.3">
      <c r="A78" t="s">
        <v>123</v>
      </c>
      <c r="B78">
        <v>2728279</v>
      </c>
      <c r="C78">
        <f t="shared" si="1"/>
        <v>6.4358887801944027</v>
      </c>
      <c r="D78">
        <v>6.442018</v>
      </c>
    </row>
    <row r="79" spans="1:4" x14ac:dyDescent="0.3">
      <c r="A79" t="s">
        <v>124</v>
      </c>
      <c r="B79">
        <v>2768087</v>
      </c>
      <c r="C79">
        <f t="shared" si="1"/>
        <v>6.4421797357219157</v>
      </c>
      <c r="D79">
        <v>6.4494910000000001</v>
      </c>
    </row>
    <row r="80" spans="1:4" x14ac:dyDescent="0.3">
      <c r="A80" t="s">
        <v>125</v>
      </c>
      <c r="B80">
        <v>2836387</v>
      </c>
      <c r="C80">
        <f t="shared" si="1"/>
        <v>6.452765486207082</v>
      </c>
      <c r="D80">
        <v>6.4545859999999999</v>
      </c>
    </row>
    <row r="81" spans="1:4" x14ac:dyDescent="0.3">
      <c r="A81" t="s">
        <v>126</v>
      </c>
      <c r="B81">
        <v>3036738</v>
      </c>
      <c r="C81">
        <f t="shared" si="1"/>
        <v>6.4824073240016942</v>
      </c>
      <c r="D81">
        <v>6.4677210000000001</v>
      </c>
    </row>
    <row r="82" spans="1:4" x14ac:dyDescent="0.3">
      <c r="A82" t="s">
        <v>127</v>
      </c>
      <c r="B82">
        <v>2965087.77736525</v>
      </c>
      <c r="C82">
        <f t="shared" si="1"/>
        <v>6.4720375545842934</v>
      </c>
      <c r="D82">
        <v>6.4779949999999999</v>
      </c>
    </row>
    <row r="83" spans="1:4" x14ac:dyDescent="0.3">
      <c r="A83" t="s">
        <v>128</v>
      </c>
      <c r="B83">
        <v>3035755.82534701</v>
      </c>
      <c r="C83">
        <f t="shared" si="1"/>
        <v>6.4822668370623751</v>
      </c>
      <c r="D83">
        <v>6.4885840000000004</v>
      </c>
    </row>
    <row r="84" spans="1:4" x14ac:dyDescent="0.3">
      <c r="A84" t="s">
        <v>129</v>
      </c>
      <c r="B84">
        <v>3079621.6131299399</v>
      </c>
      <c r="C84">
        <f t="shared" si="1"/>
        <v>6.4884973588949872</v>
      </c>
      <c r="D84">
        <v>6.4910030000000001</v>
      </c>
    </row>
    <row r="85" spans="1:4" x14ac:dyDescent="0.3">
      <c r="A85" t="s">
        <v>130</v>
      </c>
      <c r="B85">
        <v>3227728.31188777</v>
      </c>
      <c r="C85">
        <f t="shared" si="1"/>
        <v>6.5088969716467773</v>
      </c>
      <c r="D85">
        <v>6.4936590000000001</v>
      </c>
    </row>
    <row r="86" spans="1:4" x14ac:dyDescent="0.3">
      <c r="A86" t="s">
        <v>131</v>
      </c>
      <c r="B86">
        <v>3146336.28272358</v>
      </c>
      <c r="C86">
        <f t="shared" si="1"/>
        <v>6.4978051384799551</v>
      </c>
      <c r="D86">
        <v>6.5044849999999999</v>
      </c>
    </row>
    <row r="87" spans="1:4" x14ac:dyDescent="0.3">
      <c r="A87" t="s">
        <v>132</v>
      </c>
      <c r="B87">
        <v>3197195.4852978298</v>
      </c>
      <c r="C87">
        <f t="shared" si="1"/>
        <v>6.5047691910388554</v>
      </c>
      <c r="D87">
        <v>6.5120300000000002</v>
      </c>
    </row>
    <row r="88" spans="1:4" x14ac:dyDescent="0.3">
      <c r="A88" t="s">
        <v>133</v>
      </c>
      <c r="B88">
        <v>3284991.6555802599</v>
      </c>
      <c r="C88">
        <f t="shared" si="1"/>
        <v>6.5165342707177016</v>
      </c>
      <c r="D88">
        <v>6.5174329999999996</v>
      </c>
    </row>
    <row r="89" spans="1:4" x14ac:dyDescent="0.3">
      <c r="A89" t="s">
        <v>134</v>
      </c>
      <c r="B89">
        <v>3516058.35168949</v>
      </c>
      <c r="C89">
        <f t="shared" si="1"/>
        <v>6.5460560739121068</v>
      </c>
      <c r="D89">
        <v>6.5289320000000002</v>
      </c>
    </row>
    <row r="90" spans="1:4" x14ac:dyDescent="0.3">
      <c r="A90" t="s">
        <v>135</v>
      </c>
      <c r="B90">
        <v>3382300.8262527199</v>
      </c>
      <c r="C90">
        <f t="shared" si="1"/>
        <v>6.5292122316979828</v>
      </c>
      <c r="D90">
        <v>6.5392599999999996</v>
      </c>
    </row>
    <row r="91" spans="1:4" x14ac:dyDescent="0.3">
      <c r="A91" t="s">
        <v>136</v>
      </c>
      <c r="B91">
        <v>3403644.1903298399</v>
      </c>
      <c r="C91">
        <f t="shared" si="1"/>
        <v>6.5319441535708949</v>
      </c>
      <c r="D91">
        <v>6.5406000000000004</v>
      </c>
    </row>
    <row r="92" spans="1:4" x14ac:dyDescent="0.3">
      <c r="A92" t="s">
        <v>137</v>
      </c>
      <c r="B92">
        <v>3489760.8891947102</v>
      </c>
      <c r="C92">
        <f t="shared" si="1"/>
        <v>6.5427956710678279</v>
      </c>
      <c r="D92">
        <v>6.5405600000000002</v>
      </c>
    </row>
    <row r="93" spans="1:4" x14ac:dyDescent="0.3">
      <c r="A93" t="s">
        <v>138</v>
      </c>
      <c r="B93">
        <v>3717210.0382428002</v>
      </c>
      <c r="C93">
        <f t="shared" si="1"/>
        <v>6.5702171012820783</v>
      </c>
      <c r="D93">
        <v>6.5498880000000002</v>
      </c>
    </row>
    <row r="94" spans="1:4" x14ac:dyDescent="0.3">
      <c r="A94" t="s">
        <v>139</v>
      </c>
      <c r="B94">
        <v>3554641.5094634402</v>
      </c>
      <c r="C94">
        <f t="shared" si="1"/>
        <v>6.5507958080721487</v>
      </c>
      <c r="D94">
        <v>6.5667390000000001</v>
      </c>
    </row>
    <row r="95" spans="1:4" x14ac:dyDescent="0.3">
      <c r="A95" t="s">
        <v>140</v>
      </c>
      <c r="B95">
        <v>3549945.45361298</v>
      </c>
      <c r="C95">
        <f t="shared" si="1"/>
        <v>6.5502216799911821</v>
      </c>
      <c r="D95">
        <v>6.5595470000000002</v>
      </c>
    </row>
    <row r="96" spans="1:4" x14ac:dyDescent="0.3">
      <c r="A96" t="s">
        <v>141</v>
      </c>
      <c r="B96">
        <v>3603375.0476866299</v>
      </c>
      <c r="C96">
        <f t="shared" si="1"/>
        <v>6.5567094668586039</v>
      </c>
      <c r="D96">
        <v>6.5512829999999997</v>
      </c>
    </row>
    <row r="97" spans="1:4" x14ac:dyDescent="0.3">
      <c r="A97" t="s">
        <v>142</v>
      </c>
      <c r="B97">
        <v>3826678.6421807199</v>
      </c>
      <c r="C97">
        <f t="shared" si="1"/>
        <v>6.5828219924602891</v>
      </c>
      <c r="D97">
        <v>6.5589940000000002</v>
      </c>
    </row>
    <row r="98" spans="1:4" x14ac:dyDescent="0.3">
      <c r="A98" t="s">
        <v>143</v>
      </c>
      <c r="B98">
        <v>2732306.1624803399</v>
      </c>
      <c r="C98">
        <f t="shared" si="1"/>
        <v>6.4365293616368628</v>
      </c>
      <c r="D98">
        <v>6.4580310000000001</v>
      </c>
    </row>
    <row r="99" spans="1:4" x14ac:dyDescent="0.3">
      <c r="A99" t="s">
        <v>144</v>
      </c>
      <c r="B99">
        <v>3342656.4132057</v>
      </c>
      <c r="C99">
        <f t="shared" si="1"/>
        <v>6.5240917383881118</v>
      </c>
      <c r="D99">
        <v>6.5329629999999996</v>
      </c>
    </row>
    <row r="100" spans="1:4" x14ac:dyDescent="0.3">
      <c r="A100" t="s">
        <v>145</v>
      </c>
      <c r="B100">
        <v>3667337.9177076598</v>
      </c>
      <c r="C100">
        <f t="shared" si="1"/>
        <v>6.564350928786439</v>
      </c>
      <c r="D100">
        <v>6.5581110000000002</v>
      </c>
    </row>
    <row r="101" spans="1:4" x14ac:dyDescent="0.3">
      <c r="A101" t="s">
        <v>146</v>
      </c>
      <c r="B101">
        <v>3952568.4405267602</v>
      </c>
      <c r="C101">
        <f t="shared" si="1"/>
        <v>6.5968793986765482</v>
      </c>
      <c r="D101">
        <v>6.570246</v>
      </c>
    </row>
    <row r="102" spans="1:4" x14ac:dyDescent="0.3">
      <c r="A102" t="s">
        <v>147</v>
      </c>
      <c r="B102">
        <v>3350730.1257925699</v>
      </c>
      <c r="C102">
        <f t="shared" si="1"/>
        <v>6.52513945033634</v>
      </c>
      <c r="D102">
        <v>6.5486849999999999</v>
      </c>
    </row>
    <row r="103" spans="1:4" x14ac:dyDescent="0.3">
      <c r="A103" t="s">
        <v>148</v>
      </c>
      <c r="B103">
        <v>3672438.1378288199</v>
      </c>
      <c r="C103">
        <f t="shared" si="1"/>
        <v>6.5649544888391862</v>
      </c>
      <c r="D103">
        <v>6.5743450000000001</v>
      </c>
    </row>
    <row r="104" spans="1:4" x14ac:dyDescent="0.3">
      <c r="A104" t="s">
        <v>149</v>
      </c>
      <c r="B104">
        <v>3870107.78086635</v>
      </c>
      <c r="C104">
        <f t="shared" si="1"/>
        <v>6.58772306010514</v>
      </c>
      <c r="D104">
        <v>6.5832179999999996</v>
      </c>
    </row>
    <row r="105" spans="1:4" x14ac:dyDescent="0.3">
      <c r="A105" t="s">
        <v>150</v>
      </c>
      <c r="B105">
        <v>4128570.2090689298</v>
      </c>
      <c r="C105">
        <f t="shared" si="1"/>
        <v>6.6157996744598346</v>
      </c>
      <c r="D105">
        <v>6.588063</v>
      </c>
    </row>
    <row r="106" spans="1:4" x14ac:dyDescent="0.3">
      <c r="A106" t="s">
        <v>151</v>
      </c>
      <c r="B106">
        <v>3802769.07124162</v>
      </c>
      <c r="C106">
        <f t="shared" si="1"/>
        <v>6.5800999530396185</v>
      </c>
      <c r="D106">
        <v>6.59924</v>
      </c>
    </row>
    <row r="107" spans="1:4" x14ac:dyDescent="0.3">
      <c r="A107" t="s">
        <v>152</v>
      </c>
      <c r="B107">
        <v>3891250.7250851998</v>
      </c>
      <c r="C107">
        <f t="shared" si="1"/>
        <v>6.5900892146158458</v>
      </c>
      <c r="D107">
        <v>6.6025520000000002</v>
      </c>
    </row>
    <row r="108" spans="1:4" x14ac:dyDescent="0.3">
      <c r="A108" t="s">
        <v>153</v>
      </c>
      <c r="B108">
        <v>4057577.78318612</v>
      </c>
      <c r="C108">
        <f t="shared" si="1"/>
        <v>6.6082668539412088</v>
      </c>
      <c r="D108">
        <v>6.6089599999999997</v>
      </c>
    </row>
    <row r="109" spans="1:4" x14ac:dyDescent="0.3">
      <c r="A109" t="s">
        <v>154</v>
      </c>
      <c r="B109">
        <v>4413315.7960118996</v>
      </c>
      <c r="C109">
        <f t="shared" si="1"/>
        <v>6.644765004618824</v>
      </c>
      <c r="D109">
        <v>6.614363</v>
      </c>
    </row>
    <row r="110" spans="1:4" x14ac:dyDescent="0.3">
      <c r="A110" t="s">
        <v>155</v>
      </c>
      <c r="B110">
        <v>4170114.4435351598</v>
      </c>
      <c r="C110">
        <f t="shared" si="1"/>
        <v>6.6201479738020064</v>
      </c>
      <c r="D110">
        <v>6.6306960000000004</v>
      </c>
    </row>
    <row r="111" spans="1:4" x14ac:dyDescent="0.3">
      <c r="A111" t="s">
        <v>156</v>
      </c>
      <c r="B111">
        <v>4254805.79356224</v>
      </c>
      <c r="C111">
        <f t="shared" si="1"/>
        <v>6.6288797419272782</v>
      </c>
      <c r="D111">
        <v>6.6469100000000001</v>
      </c>
    </row>
    <row r="112" spans="1:4" x14ac:dyDescent="0.3">
      <c r="A112" t="s">
        <v>157</v>
      </c>
      <c r="B112">
        <v>4443638.2426613001</v>
      </c>
      <c r="C112">
        <f t="shared" si="1"/>
        <v>6.6477386957209106</v>
      </c>
      <c r="D112">
        <v>6.6553069999999996</v>
      </c>
    </row>
    <row r="113" spans="1:4" x14ac:dyDescent="0.3">
      <c r="A113" t="s">
        <v>158</v>
      </c>
      <c r="B113">
        <v>4782032.4684796799</v>
      </c>
      <c r="C113">
        <f t="shared" si="1"/>
        <v>6.679612520511184</v>
      </c>
      <c r="D113">
        <v>6.6467219999999996</v>
      </c>
    </row>
    <row r="114" spans="1:4" x14ac:dyDescent="0.3">
      <c r="A114" t="s">
        <v>159</v>
      </c>
      <c r="B114">
        <v>4441663.94615502</v>
      </c>
      <c r="C114">
        <f t="shared" si="1"/>
        <v>6.6475456969743938</v>
      </c>
      <c r="D114">
        <v>6.6476459999999999</v>
      </c>
    </row>
    <row r="115" spans="1:4" x14ac:dyDescent="0.3">
      <c r="A115" t="s">
        <v>160</v>
      </c>
      <c r="B115">
        <v>4493586.5598837798</v>
      </c>
      <c r="C115">
        <f t="shared" si="1"/>
        <v>6.6525931119146771</v>
      </c>
      <c r="D115">
        <v>6.6763890000000004</v>
      </c>
    </row>
    <row r="116" spans="1:4" x14ac:dyDescent="0.3">
      <c r="A116" t="s">
        <v>161</v>
      </c>
      <c r="B116">
        <v>4726541.8298279596</v>
      </c>
      <c r="C116">
        <f t="shared" si="1"/>
        <v>6.6745435057466755</v>
      </c>
      <c r="D116">
        <v>6.6891509999999998</v>
      </c>
    </row>
    <row r="117" spans="1:4" x14ac:dyDescent="0.3">
      <c r="A117" t="s">
        <v>162</v>
      </c>
      <c r="B117">
        <v>5135163.1080317898</v>
      </c>
      <c r="C117">
        <f t="shared" si="1"/>
        <v>6.7105542426349825</v>
      </c>
      <c r="D117">
        <v>6.6749179999999999</v>
      </c>
    </row>
    <row r="118" spans="1:4" x14ac:dyDescent="0.3">
      <c r="A118" t="s">
        <v>163</v>
      </c>
      <c r="B118">
        <v>4788623.3614072502</v>
      </c>
      <c r="C118">
        <f t="shared" si="1"/>
        <v>6.6802106799127197</v>
      </c>
      <c r="D118">
        <v>6.6720119999999996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log.GDP.SA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Pawar</dc:creator>
  <cp:lastModifiedBy>Amit Pawar</cp:lastModifiedBy>
  <dcterms:created xsi:type="dcterms:W3CDTF">2015-06-05T18:17:20Z</dcterms:created>
  <dcterms:modified xsi:type="dcterms:W3CDTF">2025-09-15T10:18:11Z</dcterms:modified>
</cp:coreProperties>
</file>